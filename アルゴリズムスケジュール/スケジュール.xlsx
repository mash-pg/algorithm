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sh\OneDrive\Desktop\アルゴリズム\"/>
    </mc:Choice>
  </mc:AlternateContent>
  <xr:revisionPtr revIDLastSave="0" documentId="13_ncr:1_{32DDFFB6-B2DF-4B5E-8782-E1084FB5AC4D}" xr6:coauthVersionLast="47" xr6:coauthVersionMax="47" xr10:uidLastSave="{00000000-0000-0000-0000-000000000000}"/>
  <bookViews>
    <workbookView xWindow="-98" yWindow="-98" windowWidth="21795" windowHeight="12975" activeTab="6" xr2:uid="{DBB5948A-26E2-4C2A-B87B-C60EA9F27601}"/>
  </bookViews>
  <sheets>
    <sheet name="勉強" sheetId="3" r:id="rId1"/>
    <sheet name="スケジュール" sheetId="1" r:id="rId2"/>
    <sheet name="HIIT" sheetId="2" r:id="rId3"/>
    <sheet name="データベース" sheetId="4" r:id="rId4"/>
    <sheet name="アルゴリズム" sheetId="5" r:id="rId5"/>
    <sheet name="情報セキュリティ" sheetId="7" r:id="rId6"/>
    <sheet name="簿記" sheetId="8" r:id="rId7"/>
    <sheet name="応用情報技術者試験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H5" i="6"/>
  <c r="H3" i="6"/>
  <c r="H2" i="6"/>
  <c r="C6" i="6"/>
</calcChain>
</file>

<file path=xl/sharedStrings.xml><?xml version="1.0" encoding="utf-8"?>
<sst xmlns="http://schemas.openxmlformats.org/spreadsheetml/2006/main" count="545" uniqueCount="422">
  <si>
    <t>シフト</t>
  </si>
  <si>
    <t>勉強時間</t>
  </si>
  <si>
    <t>勉強内容</t>
  </si>
  <si>
    <t>早1 (7:00-15:30)</t>
  </si>
  <si>
    <t>17:00-19:00 / 21:00-22:30</t>
  </si>
  <si>
    <t>11:30-13:00 / 14:00-15:30</t>
  </si>
  <si>
    <t>16:00-18:00</t>
  </si>
  <si>
    <t>遅番 (13:00-21:30)</t>
  </si>
  <si>
    <t>7:30-9:30 / 22:00-23:30</t>
  </si>
  <si>
    <t>早2 (7:30-16:00)</t>
  </si>
  <si>
    <r>
      <t>「</t>
    </r>
    <r>
      <rPr>
        <b/>
        <sz val="11"/>
        <color theme="1"/>
        <rFont val="游ゴシック"/>
        <family val="3"/>
        <charset val="128"/>
        <scheme val="minor"/>
      </rPr>
      <t>40秒動く → 20秒休憩</t>
    </r>
    <r>
      <rPr>
        <sz val="11"/>
        <color theme="1"/>
        <rFont val="游ゴシック"/>
        <family val="2"/>
        <charset val="128"/>
        <scheme val="minor"/>
      </rPr>
      <t xml:space="preserve">」を1セットとして </t>
    </r>
    <r>
      <rPr>
        <b/>
        <sz val="11"/>
        <color theme="1"/>
        <rFont val="游ゴシック"/>
        <family val="3"/>
        <charset val="128"/>
        <scheme val="minor"/>
      </rPr>
      <t>3～4セット</t>
    </r>
    <r>
      <rPr>
        <sz val="11"/>
        <color theme="1"/>
        <rFont val="游ゴシック"/>
        <family val="2"/>
        <charset val="128"/>
        <scheme val="minor"/>
      </rPr>
      <t xml:space="preserve"> 繰り返す。</t>
    </r>
  </si>
  <si>
    <r>
      <t>1. バーピー</t>
    </r>
    <r>
      <rPr>
        <sz val="11"/>
        <color theme="1"/>
        <rFont val="游ゴシック"/>
        <family val="2"/>
        <charset val="128"/>
        <scheme val="minor"/>
      </rPr>
      <t>（全身運動）</t>
    </r>
  </si>
  <si>
    <t>しゃがむ → 足を後ろへ伸ばす → 腕立て → 足を戻す → ジャンプ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</si>
  <si>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：できるだけ素早く動く</t>
    </r>
  </si>
  <si>
    <r>
      <t>強度調整</t>
    </r>
    <r>
      <rPr>
        <sz val="11"/>
        <color theme="1"/>
        <rFont val="游ゴシック"/>
        <family val="2"/>
        <charset val="128"/>
        <scheme val="minor"/>
      </rPr>
      <t>：腕立てがキツい場合は省略OK</t>
    </r>
  </si>
  <si>
    <r>
      <t>2. スクワットジャンプ</t>
    </r>
    <r>
      <rPr>
        <sz val="11"/>
        <color theme="1"/>
        <rFont val="游ゴシック"/>
        <family val="2"/>
        <charset val="128"/>
        <scheme val="minor"/>
      </rPr>
      <t>（下半身）</t>
    </r>
  </si>
  <si>
    <r>
      <t>普通のスクワット後、</t>
    </r>
    <r>
      <rPr>
        <b/>
        <sz val="11"/>
        <color theme="1"/>
        <rFont val="游ゴシック"/>
        <family val="3"/>
        <charset val="128"/>
        <scheme val="minor"/>
      </rPr>
      <t>爆発的にジャンプ！</t>
    </r>
  </si>
  <si>
    <r>
      <t>ポイント</t>
    </r>
    <r>
      <rPr>
        <sz val="11"/>
        <color theme="1"/>
        <rFont val="游ゴシック"/>
        <family val="2"/>
        <charset val="128"/>
        <scheme val="minor"/>
      </rPr>
      <t>：着地は静かに、膝を柔らかく使う</t>
    </r>
  </si>
  <si>
    <r>
      <t>3. マウンテンクライマー</t>
    </r>
    <r>
      <rPr>
        <sz val="11"/>
        <color theme="1"/>
        <rFont val="游ゴシック"/>
        <family val="2"/>
        <charset val="128"/>
        <scheme val="minor"/>
      </rPr>
      <t>（体幹＆心肺）</t>
    </r>
  </si>
  <si>
    <t>腕立て伏せの体勢で、膝を交互に胸へ引き寄せる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</si>
  <si>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：リズムよく、できるだけ速く動く</t>
    </r>
  </si>
  <si>
    <r>
      <t>4. プランク</t>
    </r>
    <r>
      <rPr>
        <sz val="11"/>
        <color theme="1"/>
        <rFont val="游ゴシック"/>
        <family val="2"/>
        <charset val="128"/>
        <scheme val="minor"/>
      </rPr>
      <t>（体幹）</t>
    </r>
  </si>
  <si>
    <t>腕を床につけ、肘で支える姿勢でキープ（40秒）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</si>
  <si>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：腰が落ちないように意識する</t>
    </r>
  </si>
  <si>
    <r>
      <t>5. 腕立て伏せ</t>
    </r>
    <r>
      <rPr>
        <sz val="11"/>
        <color theme="1"/>
        <rFont val="游ゴシック"/>
        <family val="2"/>
        <charset val="128"/>
        <scheme val="minor"/>
      </rPr>
      <t>（上半身）</t>
    </r>
  </si>
  <si>
    <t>普通の腕立て伏せを40秒間</t>
  </si>
  <si>
    <r>
      <t>強度調整</t>
    </r>
    <r>
      <rPr>
        <sz val="11"/>
        <color theme="1"/>
        <rFont val="游ゴシック"/>
        <family val="2"/>
        <charset val="128"/>
        <scheme val="minor"/>
      </rPr>
      <t>：膝をついてもOK</t>
    </r>
  </si>
  <si>
    <r>
      <t xml:space="preserve">🚀 </t>
    </r>
    <r>
      <rPr>
        <b/>
        <sz val="11"/>
        <color theme="1"/>
        <rFont val="游ゴシック"/>
        <family val="3"/>
        <charset val="128"/>
        <scheme val="minor"/>
      </rPr>
      <t>1周（約5分） × 3セット（15分）</t>
    </r>
    <r>
      <rPr>
        <sz val="11"/>
        <color theme="1"/>
        <rFont val="游ゴシック"/>
        <family val="2"/>
        <charset val="128"/>
        <scheme val="minor"/>
      </rPr>
      <t xml:space="preserve"> を目標にする！</t>
    </r>
  </si>
  <si>
    <t>運動内容</t>
  </si>
  <si>
    <t>軽めのウォーキング15分 + 下半身ストレッチ</t>
  </si>
  <si>
    <t>HIIT 15分（短時間高強度）</t>
  </si>
  <si>
    <t>1. 学習の進捗チェック（毎週の振り返り）</t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</si>
  <si>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「できるようになったこと」「弱点」</t>
    </r>
    <r>
      <rPr>
        <sz val="11"/>
        <color theme="1"/>
        <rFont val="游ゴシック"/>
        <family val="2"/>
        <charset val="128"/>
        <scheme val="minor"/>
      </rPr>
      <t xml:space="preserve"> を明確にする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</si>
  <si>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弱点分野を翌週に補強</t>
    </r>
    <r>
      <rPr>
        <sz val="11"/>
        <color theme="1"/>
        <rFont val="游ゴシック"/>
        <family val="2"/>
        <charset val="128"/>
        <scheme val="minor"/>
      </rPr>
      <t>（例：ネットワークが苦手なら復習時間を増やす）</t>
    </r>
  </si>
  <si>
    <t>2. アウトプット重視（本番形式の演習を増やす）</t>
  </si>
  <si>
    <r>
      <t xml:space="preserve">📌 </t>
    </r>
    <r>
      <rPr>
        <b/>
        <sz val="11"/>
        <color theme="1"/>
        <rFont val="游ゴシック"/>
        <family val="3"/>
        <charset val="128"/>
        <scheme val="minor"/>
      </rPr>
      <t>「勉強 = インプット + アウトプット」</t>
    </r>
    <r>
      <rPr>
        <sz val="11"/>
        <color theme="1"/>
        <rFont val="游ゴシック"/>
        <family val="2"/>
        <charset val="128"/>
        <scheme val="minor"/>
      </rPr>
      <t xml:space="preserve"> で考える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</si>
  <si>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過去問演習を毎週入れる</t>
    </r>
    <r>
      <rPr>
        <sz val="11"/>
        <color theme="1"/>
        <rFont val="游ゴシック"/>
        <family val="2"/>
        <charset val="128"/>
        <scheme val="minor"/>
      </rPr>
      <t>（アウトプットを増やす）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</si>
  <si>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解説をしっかり読む（間違えた問題の復習）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</si>
  <si>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模試や擬似試験を受ける（試験慣れする）</t>
    </r>
  </si>
  <si>
    <r>
      <t xml:space="preserve">📝 </t>
    </r>
    <r>
      <rPr>
        <b/>
        <sz val="11"/>
        <color theme="1"/>
        <rFont val="游ゴシック"/>
        <family val="3"/>
        <charset val="128"/>
        <scheme val="minor"/>
      </rPr>
      <t>おすすめ演習の流れ</t>
    </r>
  </si>
  <si>
    <r>
      <t>1. 最初の3週間</t>
    </r>
    <r>
      <rPr>
        <sz val="11"/>
        <color theme="1"/>
        <rFont val="游ゴシック"/>
        <family val="2"/>
        <charset val="128"/>
        <scheme val="minor"/>
      </rPr>
      <t>：基礎固め（理論・理解）</t>
    </r>
  </si>
  <si>
    <r>
      <t>2. 次の3週間</t>
    </r>
    <r>
      <rPr>
        <sz val="11"/>
        <color theme="1"/>
        <rFont val="游ゴシック"/>
        <family val="2"/>
        <charset val="128"/>
        <scheme val="minor"/>
      </rPr>
      <t>：アウトプットを増やす（演習問題を解く）</t>
    </r>
  </si>
  <si>
    <r>
      <t>3. 試験前3週間</t>
    </r>
    <r>
      <rPr>
        <sz val="11"/>
        <color theme="1"/>
        <rFont val="游ゴシック"/>
        <family val="2"/>
        <charset val="128"/>
        <scheme val="minor"/>
      </rPr>
      <t>：本番を想定した時間制限付きの模試演習</t>
    </r>
  </si>
  <si>
    <t>3. 暗記系（用語・計算・ネットワーク）をスキマ時間にやる</t>
  </si>
  <si>
    <r>
      <t xml:space="preserve">💡 </t>
    </r>
    <r>
      <rPr>
        <b/>
        <sz val="11"/>
        <color theme="1"/>
        <rFont val="游ゴシック"/>
        <family val="3"/>
        <charset val="128"/>
        <scheme val="minor"/>
      </rPr>
      <t>スキマ時間活用のポイント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</si>
  <si>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通勤時間や食後の10分で、暗記系の復習をする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</si>
  <si>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スマホのメモに重要ワードをまとめておく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</si>
  <si>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試験1週間前に総まとめをする（語呂合わせ活用）</t>
    </r>
  </si>
  <si>
    <t>アルゴリズム（ソート）+ 大学の課題</t>
  </si>
  <si>
    <t>データベース（サブクエリ）+ 簿記（仕訳練習）</t>
  </si>
  <si>
    <t>情報セキュリティ（暗号方式）+ 大学のレポート</t>
  </si>
  <si>
    <t>SQL演習 + 大学の試験対策</t>
  </si>
  <si>
    <t>ネットワーク（ルーティング）+ 簿記（財務諸表分析）</t>
  </si>
  <si>
    <t>10kmウォーキング＋ストレッチ</t>
    <phoneticPr fontId="2"/>
  </si>
  <si>
    <r>
      <t>夜勤前ストレッチ</t>
    </r>
    <r>
      <rPr>
        <sz val="11"/>
        <color theme="1"/>
        <rFont val="游ゴシック"/>
        <family val="2"/>
        <charset val="128"/>
        <scheme val="minor"/>
      </rPr>
      <t xml:space="preserve"> </t>
    </r>
    <phoneticPr fontId="2"/>
  </si>
  <si>
    <t>9:30-12:30 / 14:30-17:30 / 19:00-20:30</t>
    <phoneticPr fontId="2"/>
  </si>
  <si>
    <r>
      <rPr>
        <sz val="11"/>
        <color theme="1"/>
        <rFont val="Segoe UI Emoji"/>
        <family val="2"/>
      </rPr>
      <t>✅</t>
    </r>
    <r>
      <rPr>
        <sz val="11"/>
        <color theme="1"/>
        <rFont val="游ゴシック"/>
        <family val="3"/>
        <charset val="128"/>
        <scheme val="minor"/>
      </rPr>
      <t xml:space="preserve"> </t>
    </r>
    <r>
      <rPr>
        <b/>
        <sz val="11"/>
        <color theme="1"/>
        <rFont val="游ゴシック"/>
        <family val="3"/>
        <charset val="128"/>
        <scheme val="minor"/>
      </rPr>
      <t>週1回（例：日曜日）に1週間の振り返り</t>
    </r>
    <r>
      <rPr>
        <sz val="11"/>
        <color theme="1"/>
        <rFont val="游ゴシック"/>
        <family val="2"/>
        <charset val="128"/>
        <scheme val="minor"/>
      </rPr>
      <t xml:space="preserve"> をする</t>
    </r>
    <phoneticPr fontId="2"/>
  </si>
  <si>
    <t>応用情報午前対策 + 簿記の基本＋大学のレポート＋データベース</t>
    <rPh sb="0" eb="2">
      <t>オウヨウ</t>
    </rPh>
    <rPh sb="2" eb="4">
      <t>ジョウホウ</t>
    </rPh>
    <rPh sb="4" eb="6">
      <t>ゴゼン</t>
    </rPh>
    <rPh sb="6" eb="8">
      <t>タイサク</t>
    </rPh>
    <rPh sb="11" eb="13">
      <t>ボキ</t>
    </rPh>
    <rPh sb="14" eb="16">
      <t>キホン</t>
    </rPh>
    <rPh sb="17" eb="19">
      <t>ダイガク</t>
    </rPh>
    <phoneticPr fontId="2"/>
  </si>
  <si>
    <t>18:30-19:30 / 21:00-22:30</t>
    <phoneticPr fontId="2"/>
  </si>
  <si>
    <t>公休(0:00-0:00)</t>
    <phoneticPr fontId="2"/>
  </si>
  <si>
    <t>明け(10:00-0:00)</t>
    <phoneticPr fontId="2"/>
  </si>
  <si>
    <t>夜勤 (16:00-10:00)</t>
    <phoneticPr fontId="2"/>
  </si>
  <si>
    <t>週</t>
  </si>
  <si>
    <t>日付</t>
  </si>
  <si>
    <t>学習内容</t>
  </si>
  <si>
    <t>第1週目</t>
  </si>
  <si>
    <t>1日目</t>
  </si>
  <si>
    <t>データベース基礎知識</t>
  </si>
  <si>
    <t>2日目</t>
  </si>
  <si>
    <t>3日目</t>
  </si>
  <si>
    <t>4日目</t>
  </si>
  <si>
    <t>5日目</t>
  </si>
  <si>
    <t>6日目</t>
  </si>
  <si>
    <t>復習・演習問題</t>
  </si>
  <si>
    <t>7日目</t>
  </si>
  <si>
    <t>予備日・休息日</t>
  </si>
  <si>
    <t>第2週目</t>
  </si>
  <si>
    <t>8日目</t>
  </si>
  <si>
    <t>SQL基本構文①</t>
  </si>
  <si>
    <t>9日目</t>
  </si>
  <si>
    <t>SQL基本構文②</t>
  </si>
  <si>
    <t>10日目</t>
  </si>
  <si>
    <t>集約関数とGROUP BY</t>
  </si>
  <si>
    <t>11日目</t>
  </si>
  <si>
    <t>JOIN基礎</t>
  </si>
  <si>
    <t>12日目</t>
  </si>
  <si>
    <t>サブクエリ基礎</t>
  </si>
  <si>
    <t>13日目</t>
  </si>
  <si>
    <t>演習問題と復習</t>
  </si>
  <si>
    <t>14日目</t>
  </si>
  <si>
    <t>第3週目</t>
  </si>
  <si>
    <t>15日目</t>
  </si>
  <si>
    <t>自己結合と相関サブクエリ</t>
  </si>
  <si>
    <t>16日目</t>
  </si>
  <si>
    <t>ウィンドウ関数①</t>
  </si>
  <si>
    <t>17日目</t>
  </si>
  <si>
    <t>ウィンドウ関数②</t>
  </si>
  <si>
    <t>18日目</t>
  </si>
  <si>
    <t>共通テーブル式（CTE）</t>
  </si>
  <si>
    <t>19日目</t>
  </si>
  <si>
    <t>ビューとインデックスの基礎</t>
  </si>
  <si>
    <t>20日目</t>
  </si>
  <si>
    <t>トランザクション基礎</t>
  </si>
  <si>
    <t>21日目</t>
  </si>
  <si>
    <t>復習・問題演習</t>
  </si>
  <si>
    <t>第4週目</t>
  </si>
  <si>
    <t>22日目</t>
  </si>
  <si>
    <t>パフォーマンスチューニング基礎</t>
  </si>
  <si>
    <t>23日目</t>
  </si>
  <si>
    <t>バックアップと障害復旧基礎</t>
  </si>
  <si>
    <t>24日目</t>
  </si>
  <si>
    <t>データベースのセキュリティ</t>
  </si>
  <si>
    <t>25日目</t>
  </si>
  <si>
    <t>総合演習（設計編）</t>
  </si>
  <si>
    <t>26日目</t>
  </si>
  <si>
    <t>総合演習（SQL実践編）</t>
  </si>
  <si>
    <t>27日目</t>
  </si>
  <si>
    <t>総合演習（管理・チューニング編）</t>
  </si>
  <si>
    <t>28日目</t>
  </si>
  <si>
    <t>予備日・復習</t>
  </si>
  <si>
    <t>2025-03-22 (Sat)</t>
  </si>
  <si>
    <t>2025-03-23 (Sun)</t>
  </si>
  <si>
    <t>簡単な問題実装（最大値・最小値）</t>
  </si>
  <si>
    <t>2025-03-24 (Mon)</t>
  </si>
  <si>
    <t>2025-03-25 (Tue)</t>
  </si>
  <si>
    <t>2025-03-26 (Wed)</t>
  </si>
  <si>
    <t>簡単な問題（配列操作・探索）のコーディング</t>
  </si>
  <si>
    <t>2025-03-27 (Thu)</t>
  </si>
  <si>
    <t>線形探索の理解と実装</t>
  </si>
  <si>
    <t>2025-03-28 (Fri)</t>
  </si>
  <si>
    <t>二分探索の理解と実装</t>
  </si>
  <si>
    <t>2025-03-29 (Sat)</t>
  </si>
  <si>
    <t>バブルソートの理解と実装</t>
  </si>
  <si>
    <t>2025-03-30 (Sun)</t>
  </si>
  <si>
    <t>選択ソートの理解と実装</t>
  </si>
  <si>
    <t>2025-03-31 (Mon)</t>
  </si>
  <si>
    <t>バブルソートと選択ソートの性能比較</t>
  </si>
  <si>
    <t>2025-04-01 (Tue)</t>
  </si>
  <si>
    <t>挿入ソートの理解と実装</t>
  </si>
  <si>
    <t>2025-04-02 (Wed)</t>
  </si>
  <si>
    <t>基礎ソートアルゴリズム演習問題</t>
  </si>
  <si>
    <t>2025-04-03 (Thu)</t>
  </si>
  <si>
    <t>バブル・選択・挿入ソートの長所・短所まとめ</t>
  </si>
  <si>
    <t>2025-04-04 (Fri)</t>
  </si>
  <si>
    <t>マージソートの理解（分割統治法）</t>
  </si>
  <si>
    <t>2025-04-05 (Sat)</t>
  </si>
  <si>
    <t>マージソートの実装（再帰処理）</t>
  </si>
  <si>
    <t>2025-04-06 (Sun)</t>
  </si>
  <si>
    <t>クイックソートの理解</t>
  </si>
  <si>
    <t>2025-04-07 (Mon)</t>
  </si>
  <si>
    <t>クイックソートの実装</t>
  </si>
  <si>
    <t>2025-04-08 (Tue)</t>
  </si>
  <si>
    <t>クイックソートのピボット選定方法</t>
  </si>
  <si>
    <t>2025-04-09 (Wed)</t>
  </si>
  <si>
    <t>マージソート・クイックソート演習問題</t>
  </si>
  <si>
    <t>2025-04-10 (Thu)</t>
  </si>
  <si>
    <t>マージ・クイックソートの性能比較</t>
  </si>
  <si>
    <t>2025-04-11 (Fri)</t>
  </si>
  <si>
    <t>ヒープソートの理解</t>
  </si>
  <si>
    <t>2025-04-12 (Sat)</t>
  </si>
  <si>
    <t>ヒープ構造と優先度付きキュー</t>
  </si>
  <si>
    <t>2025-04-13 (Sun)</t>
  </si>
  <si>
    <t>ヒープソートの実装</t>
  </si>
  <si>
    <t>2025-04-14 (Mon)</t>
  </si>
  <si>
    <t>標準ライブラリを使ったソート（STL, sorted関数など）</t>
  </si>
  <si>
    <t>2025-04-15 (Tue)</t>
  </si>
  <si>
    <t>アルゴリズム選択基準（時間・空間制約・データ特性）</t>
  </si>
  <si>
    <t>2025-04-16 (Wed)</t>
  </si>
  <si>
    <t>1ヶ月間の復習</t>
  </si>
  <si>
    <t>2025-04-17 (Thu)</t>
  </si>
  <si>
    <t>総合演習問題（ソート）</t>
  </si>
  <si>
    <t>2025-04-18 (Fri)</t>
  </si>
  <si>
    <t>発展問題・実践問題演習</t>
  </si>
  <si>
    <t>応用情報技術者試験</t>
    <rPh sb="0" eb="9">
      <t>オウヨウジョウホウギジュツシャシケン</t>
    </rPh>
    <phoneticPr fontId="2"/>
  </si>
  <si>
    <t>データベース</t>
    <phoneticPr fontId="2"/>
  </si>
  <si>
    <t>情報セキュリティ</t>
    <rPh sb="0" eb="2">
      <t>ジョウホウ</t>
    </rPh>
    <phoneticPr fontId="2"/>
  </si>
  <si>
    <t>ネットワーク</t>
    <phoneticPr fontId="2"/>
  </si>
  <si>
    <t>プログラミング</t>
    <phoneticPr fontId="2"/>
  </si>
  <si>
    <t>経営戦略・システム監査</t>
    <rPh sb="0" eb="2">
      <t>ケイエイ</t>
    </rPh>
    <rPh sb="2" eb="4">
      <t>センリャク</t>
    </rPh>
    <rPh sb="9" eb="11">
      <t>カンサ</t>
    </rPh>
    <phoneticPr fontId="2"/>
  </si>
  <si>
    <t>DBスペシャリスト</t>
    <phoneticPr fontId="2"/>
  </si>
  <si>
    <t>情報処理安全確保支援士</t>
    <rPh sb="0" eb="4">
      <t>ジョウホウショリ</t>
    </rPh>
    <rPh sb="4" eb="8">
      <t>アンゼンカクホ</t>
    </rPh>
    <rPh sb="8" eb="11">
      <t>シエンシ</t>
    </rPh>
    <phoneticPr fontId="2"/>
  </si>
  <si>
    <t>ITストラテジ</t>
    <phoneticPr fontId="2"/>
  </si>
  <si>
    <t>水色coder</t>
    <rPh sb="0" eb="2">
      <t>ミズイロ</t>
    </rPh>
    <phoneticPr fontId="2"/>
  </si>
  <si>
    <t>春</t>
    <rPh sb="0" eb="1">
      <t>ハル</t>
    </rPh>
    <phoneticPr fontId="2"/>
  </si>
  <si>
    <t>1年目</t>
    <rPh sb="1" eb="3">
      <t>ネンメ</t>
    </rPh>
    <phoneticPr fontId="2"/>
  </si>
  <si>
    <t>2年目</t>
    <rPh sb="1" eb="3">
      <t>ネンメ</t>
    </rPh>
    <phoneticPr fontId="2"/>
  </si>
  <si>
    <t>33歳</t>
    <rPh sb="2" eb="3">
      <t>サイ</t>
    </rPh>
    <phoneticPr fontId="2"/>
  </si>
  <si>
    <t>34歳</t>
    <rPh sb="2" eb="3">
      <t>サイ</t>
    </rPh>
    <phoneticPr fontId="2"/>
  </si>
  <si>
    <t>秋</t>
    <rPh sb="0" eb="1">
      <t>アキ</t>
    </rPh>
    <phoneticPr fontId="2"/>
  </si>
  <si>
    <t>アルゴリズムの定義と役割</t>
    <phoneticPr fontId="2"/>
  </si>
  <si>
    <t>〇</t>
    <phoneticPr fontId="2"/>
  </si>
  <si>
    <t>時間計算量（Big O記法）基礎（O(1), O(log n), O(n), O(n log n), O(n²)）</t>
    <phoneticPr fontId="2"/>
  </si>
  <si>
    <t>データベース基本概念</t>
    <phoneticPr fontId="2"/>
  </si>
  <si>
    <t>ERモデル基礎</t>
    <phoneticPr fontId="2"/>
  </si>
  <si>
    <t>正規化理論</t>
    <phoneticPr fontId="2"/>
  </si>
  <si>
    <t>配列操作（検索・挿入・削除）の基本</t>
    <phoneticPr fontId="2"/>
  </si>
  <si>
    <t>リストの基本操作</t>
    <phoneticPr fontId="2"/>
  </si>
  <si>
    <t>論理設計のまとめ</t>
    <phoneticPr fontId="2"/>
  </si>
  <si>
    <t>学習テーマ</t>
  </si>
  <si>
    <t>Day 1</t>
  </si>
  <si>
    <t>Day 2</t>
  </si>
  <si>
    <t>脅威の種類①：マルウェア（ウイルス、ワーム、トロイの木馬）</t>
  </si>
  <si>
    <t>Day 3</t>
  </si>
  <si>
    <t>脅威の種類②：サイバー攻撃手法（フィッシング、DoS/DDoS、MITM攻撃）</t>
  </si>
  <si>
    <t>Day 4</t>
  </si>
  <si>
    <t>セキュリティ対策①：認証技術（パスワード、二要素認証、バイオメトリクス）</t>
  </si>
  <si>
    <t>Day 5</t>
  </si>
  <si>
    <t>セキュリティ対策②：アクセス制御（ACL、RBAC、ゼロトラスト）</t>
  </si>
  <si>
    <t>Day 6</t>
  </si>
  <si>
    <t>復習＋午前Ⅱ過去問（1年分）</t>
  </si>
  <si>
    <t>Day 7</t>
  </si>
  <si>
    <t>知識の整理＋午後Ⅰの過去問1問演習</t>
  </si>
  <si>
    <t>Day 8</t>
  </si>
  <si>
    <t>暗号技術の基本（共通鍵暗号・公開鍵暗号・ハッシュ関数）</t>
  </si>
  <si>
    <t>Day 9</t>
  </si>
  <si>
    <t>認証技術とPKI（公開鍵基盤）（デジタル証明書、SSL/TLS）</t>
  </si>
  <si>
    <t>Day 10</t>
  </si>
  <si>
    <t>ネットワークの基本①（TCP/IP、ポート番号、通信プロトコル）</t>
  </si>
  <si>
    <t>Day 11</t>
  </si>
  <si>
    <t>ネットワークの基本②（VPN、IPsec、ゼロトラスト）</t>
  </si>
  <si>
    <t>Day 12</t>
  </si>
  <si>
    <t>ファイアウォール・IDS/IPS（パケットフィルタリング、ディープパケットインスペクション）</t>
  </si>
  <si>
    <t>Day 13</t>
  </si>
  <si>
    <t>復習＋午前Ⅱ過去問（2年分）</t>
  </si>
  <si>
    <t>Day 14</t>
  </si>
  <si>
    <t>午後Ⅰの問題演習（1問）＋要点整理</t>
  </si>
  <si>
    <t>Day 15</t>
  </si>
  <si>
    <t>インシデント対応の基本（検知→分析→対応→復旧）</t>
  </si>
  <si>
    <t>Day 16</t>
  </si>
  <si>
    <t>ログ管理とフォレンジック（ログの種類、SIEM、タイムスタンプ）</t>
  </si>
  <si>
    <t>Day 17</t>
  </si>
  <si>
    <t>リスクマネジメント（リスク分析、リスク評価、リスク対応）</t>
  </si>
  <si>
    <t>Day 18</t>
  </si>
  <si>
    <t>CSIRT・SOCの役割（インシデントレスポンス体制）</t>
  </si>
  <si>
    <t>Day 19</t>
  </si>
  <si>
    <t>情報セキュリティマネジメント（ISMS、ISO27001）</t>
  </si>
  <si>
    <t>Day 20</t>
  </si>
  <si>
    <t>Day 21</t>
  </si>
  <si>
    <t>午後Ⅰの問題演習（2問）＋要点整理</t>
  </si>
  <si>
    <t>Day 22</t>
  </si>
  <si>
    <t>個人情報保護法・不正アクセス禁止法</t>
  </si>
  <si>
    <t>Day 23</t>
  </si>
  <si>
    <t>電気通信事業法・著作権法・GDPR</t>
  </si>
  <si>
    <t>Day 24</t>
  </si>
  <si>
    <t>JIS Q 27001（ISMS）・NISTのフレームワーク</t>
  </si>
  <si>
    <t>Day 25</t>
  </si>
  <si>
    <t>情報セキュリティガイドライン（IPAのセキュリティ10大脅威）</t>
  </si>
  <si>
    <t>Day 26</t>
  </si>
  <si>
    <t>試験形式で午前Ⅱ過去問演習（3年分）</t>
  </si>
  <si>
    <t>Day 27</t>
  </si>
  <si>
    <t>午後Ⅰの問題演習（2問）＋記述練習</t>
  </si>
  <si>
    <t>Day 28</t>
  </si>
  <si>
    <t>総復習＆自己テスト（学んだ内容をまとめ、記述で説明する）</t>
  </si>
  <si>
    <t>Day 29</t>
  </si>
  <si>
    <t>模試形式の演習（午前Ⅱ・午後Ⅰ・午後Ⅱ）</t>
  </si>
  <si>
    <t>Day 30</t>
  </si>
  <si>
    <t>試験前総仕上げ（知識整理＋記述練習）</t>
  </si>
  <si>
    <t>情報セキュリティの基本原則（CIA）</t>
    <phoneticPr fontId="2"/>
  </si>
  <si>
    <t>日数</t>
  </si>
  <si>
    <t>商業簿記</t>
  </si>
  <si>
    <t>工業簿記</t>
  </si>
  <si>
    <t>問題演習</t>
  </si>
  <si>
    <t>簿記の基本・仕訳のルール</t>
  </si>
  <si>
    <t>工業簿記の基本概念</t>
  </si>
  <si>
    <t>簡単な仕訳問題</t>
  </si>
  <si>
    <t>仕訳（資産・負債・純資産）</t>
  </si>
  <si>
    <t>材料費の計算（直接・間接）</t>
  </si>
  <si>
    <t>小テスト10問</t>
  </si>
  <si>
    <t>商品売買の仕訳（分記法・三分法）</t>
  </si>
  <si>
    <t>材料消費量の計算</t>
  </si>
  <si>
    <t>売掛金・買掛金・手形取引</t>
  </si>
  <si>
    <t>労務費の計算（賃率計算・労働時間）</t>
  </si>
  <si>
    <t>小テスト15問</t>
  </si>
  <si>
    <t>固定資産（減価償却・売却）</t>
  </si>
  <si>
    <t>工場経費（製造間接費）</t>
  </si>
  <si>
    <t>引当金（貸倒引当金・退職給付）</t>
  </si>
  <si>
    <t>製造間接費の予定配賦</t>
  </si>
  <si>
    <t>過去問演習</t>
  </si>
  <si>
    <t>決算整理仕訳（前払・未払・未収）</t>
  </si>
  <si>
    <t>総合原価計算の基礎</t>
  </si>
  <si>
    <t>小テスト20問</t>
  </si>
  <si>
    <t>株式発行・社債発行</t>
  </si>
  <si>
    <t>仕掛品・完成品の計算</t>
  </si>
  <si>
    <t>財務諸表の作成（PL・BS）</t>
  </si>
  <si>
    <t>個別原価計算</t>
  </si>
  <si>
    <t>本支店会計の基礎</t>
  </si>
  <si>
    <t>工業簿記の総合問題①</t>
  </si>
  <si>
    <t>模擬試験（基礎）</t>
  </si>
  <si>
    <t>連結会計の基本</t>
  </si>
  <si>
    <t>工業簿記の総合問題②</t>
  </si>
  <si>
    <t>外貨建取引</t>
  </si>
  <si>
    <t>CVP分析</t>
  </si>
  <si>
    <t>キャッシュフロー計算書</t>
  </si>
  <si>
    <t>直接原価計算</t>
  </si>
  <si>
    <t>総合復習</t>
  </si>
  <si>
    <t>過去問演習（商業簿記）</t>
  </si>
  <si>
    <t>過去問演習（工業簿記）</t>
  </si>
  <si>
    <t>試験形式で解く</t>
  </si>
  <si>
    <t>本支店会計の応用</t>
  </si>
  <si>
    <t>総合原価計算（応用）</t>
  </si>
  <si>
    <t>収益認識の会計基準</t>
  </si>
  <si>
    <t>設備投資の意思決定</t>
  </si>
  <si>
    <t>連結会計の詳細</t>
  </si>
  <si>
    <t>固定費と変動費の分析</t>
  </si>
  <si>
    <t>会社の種類と財務諸表</t>
  </si>
  <si>
    <t>直接原価計算の応用</t>
  </si>
  <si>
    <t>仕訳特訓（間違えた問題を中心に）</t>
  </si>
  <si>
    <t>工業簿記特訓（計算速度UP）</t>
  </si>
  <si>
    <t>簿記の理論復習</t>
  </si>
  <si>
    <t>工業簿記の理論復習</t>
  </si>
  <si>
    <t>実践問題演習</t>
  </si>
  <si>
    <t>間違えた分野の復習</t>
  </si>
  <si>
    <t>弱点強化（集中特訓）</t>
  </si>
  <si>
    <t>模擬試験</t>
  </si>
  <si>
    <t>問題演習（過去問3回転目）</t>
  </si>
  <si>
    <t>計算スピードUPトレーニング</t>
  </si>
  <si>
    <t>仕訳まとめノート作成</t>
  </si>
  <si>
    <t>工業簿記の要点整理</t>
  </si>
  <si>
    <t>財務諸表問題演習</t>
  </si>
  <si>
    <t>原価計算の実践</t>
  </si>
  <si>
    <t>実践問題演習（商業簿記）</t>
  </si>
  <si>
    <t>実践問題演習（工業簿記）</t>
  </si>
  <si>
    <t>実践問題（時間制限あり）</t>
  </si>
  <si>
    <t>計算速度UP特訓</t>
  </si>
  <si>
    <t>小テスト</t>
  </si>
  <si>
    <t>29日目</t>
  </si>
  <si>
    <t>仕訳トレーニング（総仕上げ）</t>
  </si>
  <si>
    <t>工業簿記の総仕上げ</t>
  </si>
  <si>
    <t>30日目</t>
  </si>
  <si>
    <t>総復習（基礎固め完了）</t>
  </si>
  <si>
    <t>試験形式演習</t>
  </si>
  <si>
    <t>31日目</t>
  </si>
  <si>
    <t>重要仕訳まとめ（商業簿記）</t>
  </si>
  <si>
    <t>計算特訓（工業簿記）</t>
  </si>
  <si>
    <t>32日目</t>
  </si>
  <si>
    <t>過去問（商業簿記）</t>
  </si>
  <si>
    <t>過去問（工業簿記）</t>
  </si>
  <si>
    <t>33日目</t>
  </si>
  <si>
    <t>苦手分野の集中補強</t>
  </si>
  <si>
    <t>計算問題の復習</t>
  </si>
  <si>
    <t>34日目</t>
  </si>
  <si>
    <t>過去問2回転目（時間制限付き）</t>
  </si>
  <si>
    <t>計算スピードUP特訓</t>
  </si>
  <si>
    <t>35日目</t>
  </si>
  <si>
    <t>模擬試験1回目（本番環境）</t>
  </si>
  <si>
    <t>間違えた問題の解き直し</t>
  </si>
  <si>
    <t>36日目</t>
  </si>
  <si>
    <t>重要論点チェック（仕訳）</t>
  </si>
  <si>
    <t>重要論点チェック（原価計算）</t>
  </si>
  <si>
    <t>37日目</t>
  </si>
  <si>
    <t>試験対策問題演習（時間配分の確認）</t>
  </si>
  <si>
    <t>工業簿記の応用問題演習</t>
  </si>
  <si>
    <t>38日目</t>
  </si>
  <si>
    <t>模擬試験2回目（試験環境で）</t>
  </si>
  <si>
    <t>工業簿記の総合演習</t>
  </si>
  <si>
    <t>39日目</t>
  </si>
  <si>
    <t>弱点補強（理論問題対策）</t>
  </si>
  <si>
    <t>40日目</t>
  </si>
  <si>
    <t>過去問3回転目</t>
  </si>
  <si>
    <t>時間を意識した問題演習</t>
  </si>
  <si>
    <t>41日目</t>
  </si>
  <si>
    <t>重要論点チェック（商業簿記）</t>
  </si>
  <si>
    <t>重要論点チェック（工業簿記）</t>
  </si>
  <si>
    <t>42日目</t>
  </si>
  <si>
    <t>実践演習（ミスが多い部分の特訓）</t>
  </si>
  <si>
    <t>応用問題の演習</t>
  </si>
  <si>
    <t>43日目</t>
  </si>
  <si>
    <t>模擬試験3回目</t>
  </si>
  <si>
    <t>計算速度アップトレーニング</t>
  </si>
  <si>
    <t>44日目</t>
  </si>
  <si>
    <t>理論問題復習</t>
  </si>
  <si>
    <t>工業簿記の計算強化</t>
  </si>
  <si>
    <t>45日目</t>
  </si>
  <si>
    <t>過去問4回転目</t>
  </si>
  <si>
    <t>総仕上げ問題演習</t>
  </si>
  <si>
    <t>46日目</t>
  </si>
  <si>
    <t>予想問題集（本試験形式）</t>
  </si>
  <si>
    <t>時間配分を意識した演習</t>
  </si>
  <si>
    <t>47日目</t>
  </si>
  <si>
    <t>間違えた問題の復習</t>
  </si>
  <si>
    <t>原価計算の最終確認</t>
  </si>
  <si>
    <t>48日目</t>
  </si>
  <si>
    <t>模擬試験4回目（本番環境で）</t>
  </si>
  <si>
    <t>時間制限付き試験対策</t>
  </si>
  <si>
    <t>49日目</t>
  </si>
  <si>
    <t>弱点補強（特に間違えやすい分野）</t>
  </si>
  <si>
    <t>工業簿記の実践問題</t>
  </si>
  <si>
    <t>50日目</t>
  </si>
  <si>
    <t>実践演習（時間制限付き）</t>
  </si>
  <si>
    <t>工業簿記の最終演習</t>
  </si>
  <si>
    <t>51日目</t>
  </si>
  <si>
    <t>模擬試験5回目</t>
  </si>
  <si>
    <t>復習と弱点克服</t>
  </si>
  <si>
    <t>52日目</t>
  </si>
  <si>
    <t>最終チェック（商業簿記）</t>
  </si>
  <si>
    <t>最終チェック（工業簿記）</t>
  </si>
  <si>
    <t>53日目</t>
  </si>
  <si>
    <t>時間配分の確認</t>
  </si>
  <si>
    <t>試験形式の問題演習</t>
  </si>
  <si>
    <t>54日目</t>
  </si>
  <si>
    <t>過去問総仕上げ</t>
  </si>
  <si>
    <t>模擬試験6回目</t>
  </si>
  <si>
    <t>55日目</t>
  </si>
  <si>
    <t>試験のための最終チェック</t>
  </si>
  <si>
    <t>計算問題の確認</t>
  </si>
  <si>
    <t>56日目</t>
  </si>
  <si>
    <t>苦手分野の最終確認</t>
  </si>
  <si>
    <t>総まとめ復習</t>
  </si>
  <si>
    <t>57日目</t>
  </si>
  <si>
    <t>仕訳特訓</t>
  </si>
  <si>
    <t>計算の見直し</t>
  </si>
  <si>
    <t>58日目</t>
  </si>
  <si>
    <t>最終模擬試験（本番環境で）</t>
  </si>
  <si>
    <t>直前確認（理論・計算）</t>
  </si>
  <si>
    <t>59日目</t>
  </si>
  <si>
    <t>試験前の弱点克服</t>
  </si>
  <si>
    <t>原価計算と仕訳の確認</t>
  </si>
  <si>
    <t>過去問復習</t>
  </si>
  <si>
    <t>60日目</t>
  </si>
  <si>
    <t>試験当日（直前確認のみ）</t>
  </si>
  <si>
    <t>試験本番</t>
  </si>
  <si>
    <t>リラックス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</si>
</sst>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3.5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Emoji"/>
      <family val="2"/>
    </font>
    <font>
      <b/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0" xfId="0" applyFont="1" applyAlignment="1">
      <alignment horizontal="left" vertical="center" indent="2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7" fillId="0" borderId="1" xfId="0" applyFont="1" applyBorder="1" applyAlignment="1">
      <alignment horizontal="center" vertical="top"/>
    </xf>
    <xf numFmtId="0" fontId="0" fillId="0" borderId="0" xfId="0" applyAlignment="1"/>
    <xf numFmtId="0" fontId="0" fillId="0" borderId="0" xfId="0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7D36-1A00-4B31-9A61-922C78F610DD}">
  <dimension ref="A1:B21"/>
  <sheetViews>
    <sheetView workbookViewId="0">
      <selection activeCell="E9" sqref="E9"/>
    </sheetView>
  </sheetViews>
  <sheetFormatPr defaultRowHeight="17.649999999999999" x14ac:dyDescent="0.7"/>
  <cols>
    <col min="1" max="1" width="72.625" bestFit="1" customWidth="1"/>
  </cols>
  <sheetData>
    <row r="1" spans="1:2" ht="21.75" x14ac:dyDescent="0.7">
      <c r="A1" s="7" t="s">
        <v>31</v>
      </c>
    </row>
    <row r="2" spans="1:2" x14ac:dyDescent="0.7">
      <c r="A2" t="s">
        <v>56</v>
      </c>
      <c r="B2" s="8"/>
    </row>
    <row r="3" spans="1:2" x14ac:dyDescent="0.7">
      <c r="A3" t="s">
        <v>32</v>
      </c>
    </row>
    <row r="4" spans="1:2" x14ac:dyDescent="0.7">
      <c r="A4" t="s">
        <v>33</v>
      </c>
    </row>
    <row r="6" spans="1:2" ht="21.75" x14ac:dyDescent="0.7">
      <c r="A6" s="7" t="s">
        <v>34</v>
      </c>
    </row>
    <row r="7" spans="1:2" x14ac:dyDescent="0.7">
      <c r="A7" t="s">
        <v>35</v>
      </c>
    </row>
    <row r="8" spans="1:2" x14ac:dyDescent="0.7">
      <c r="A8" t="s">
        <v>36</v>
      </c>
    </row>
    <row r="9" spans="1:2" x14ac:dyDescent="0.7">
      <c r="A9" t="s">
        <v>37</v>
      </c>
    </row>
    <row r="10" spans="1:2" x14ac:dyDescent="0.7">
      <c r="A10" t="s">
        <v>38</v>
      </c>
    </row>
    <row r="12" spans="1:2" x14ac:dyDescent="0.7">
      <c r="A12" t="s">
        <v>39</v>
      </c>
    </row>
    <row r="13" spans="1:2" x14ac:dyDescent="0.7">
      <c r="A13" s="4" t="s">
        <v>40</v>
      </c>
    </row>
    <row r="14" spans="1:2" x14ac:dyDescent="0.7">
      <c r="A14" s="4" t="s">
        <v>41</v>
      </c>
    </row>
    <row r="15" spans="1:2" x14ac:dyDescent="0.7">
      <c r="A15" s="4" t="s">
        <v>42</v>
      </c>
    </row>
    <row r="17" spans="1:1" ht="21.75" x14ac:dyDescent="0.7">
      <c r="A17" s="7" t="s">
        <v>43</v>
      </c>
    </row>
    <row r="18" spans="1:1" x14ac:dyDescent="0.7">
      <c r="A18" t="s">
        <v>44</v>
      </c>
    </row>
    <row r="19" spans="1:1" x14ac:dyDescent="0.7">
      <c r="A19" t="s">
        <v>45</v>
      </c>
    </row>
    <row r="20" spans="1:1" x14ac:dyDescent="0.7">
      <c r="A20" t="s">
        <v>46</v>
      </c>
    </row>
    <row r="21" spans="1:1" x14ac:dyDescent="0.7">
      <c r="A21" t="s">
        <v>47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461F-C4C3-4B2B-A4BF-00691AA35DF4}">
  <dimension ref="A1:D7"/>
  <sheetViews>
    <sheetView workbookViewId="0"/>
  </sheetViews>
  <sheetFormatPr defaultRowHeight="17.649999999999999" x14ac:dyDescent="0.7"/>
  <cols>
    <col min="1" max="1" width="37.125" customWidth="1"/>
    <col min="2" max="2" width="56" customWidth="1"/>
    <col min="3" max="3" width="60.125" customWidth="1"/>
    <col min="4" max="4" width="53.5" customWidth="1"/>
  </cols>
  <sheetData>
    <row r="1" spans="1:4" x14ac:dyDescent="0.7">
      <c r="A1" s="1" t="s">
        <v>0</v>
      </c>
      <c r="B1" s="1" t="s">
        <v>1</v>
      </c>
      <c r="C1" s="1" t="s">
        <v>2</v>
      </c>
      <c r="D1" s="1" t="s">
        <v>28</v>
      </c>
    </row>
    <row r="2" spans="1:4" x14ac:dyDescent="0.7">
      <c r="A2" s="2" t="s">
        <v>3</v>
      </c>
      <c r="B2" s="2" t="s">
        <v>4</v>
      </c>
      <c r="C2" s="2" t="s">
        <v>48</v>
      </c>
      <c r="D2" s="2" t="s">
        <v>29</v>
      </c>
    </row>
    <row r="3" spans="1:4" x14ac:dyDescent="0.7">
      <c r="A3" s="2" t="s">
        <v>61</v>
      </c>
      <c r="B3" s="2" t="s">
        <v>5</v>
      </c>
      <c r="C3" s="2" t="s">
        <v>49</v>
      </c>
      <c r="D3" s="2" t="s">
        <v>54</v>
      </c>
    </row>
    <row r="4" spans="1:4" x14ac:dyDescent="0.7">
      <c r="A4" s="2" t="s">
        <v>60</v>
      </c>
      <c r="B4" s="2" t="s">
        <v>6</v>
      </c>
      <c r="C4" s="2" t="s">
        <v>50</v>
      </c>
      <c r="D4" s="2" t="s">
        <v>29</v>
      </c>
    </row>
    <row r="5" spans="1:4" x14ac:dyDescent="0.7">
      <c r="A5" s="2" t="s">
        <v>59</v>
      </c>
      <c r="B5" s="2" t="s">
        <v>55</v>
      </c>
      <c r="C5" s="2" t="s">
        <v>57</v>
      </c>
      <c r="D5" s="2" t="s">
        <v>53</v>
      </c>
    </row>
    <row r="6" spans="1:4" x14ac:dyDescent="0.7">
      <c r="A6" s="2" t="s">
        <v>7</v>
      </c>
      <c r="B6" s="2" t="s">
        <v>8</v>
      </c>
      <c r="C6" s="2" t="s">
        <v>51</v>
      </c>
      <c r="D6" s="2" t="s">
        <v>29</v>
      </c>
    </row>
    <row r="7" spans="1:4" x14ac:dyDescent="0.7">
      <c r="A7" s="2" t="s">
        <v>9</v>
      </c>
      <c r="B7" s="2" t="s">
        <v>58</v>
      </c>
      <c r="C7" s="2" t="s">
        <v>52</v>
      </c>
      <c r="D7" s="2" t="s">
        <v>30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AB98D-60E0-46D4-870F-203C406CB041}">
  <dimension ref="A1:A34"/>
  <sheetViews>
    <sheetView workbookViewId="0">
      <selection activeCell="A32" sqref="A32"/>
    </sheetView>
  </sheetViews>
  <sheetFormatPr defaultRowHeight="17.649999999999999" x14ac:dyDescent="0.7"/>
  <cols>
    <col min="1" max="1" width="64.375" bestFit="1" customWidth="1"/>
  </cols>
  <sheetData>
    <row r="1" spans="1:1" x14ac:dyDescent="0.7">
      <c r="A1" t="s">
        <v>10</v>
      </c>
    </row>
    <row r="2" spans="1:1" x14ac:dyDescent="0.7">
      <c r="A2" s="3"/>
    </row>
    <row r="3" spans="1:1" x14ac:dyDescent="0.7">
      <c r="A3" s="4" t="s">
        <v>11</v>
      </c>
    </row>
    <row r="4" spans="1:1" x14ac:dyDescent="0.7">
      <c r="A4" s="3"/>
    </row>
    <row r="5" spans="1:1" x14ac:dyDescent="0.7">
      <c r="A5" s="3"/>
    </row>
    <row r="6" spans="1:1" x14ac:dyDescent="0.7">
      <c r="A6" s="5" t="s">
        <v>12</v>
      </c>
    </row>
    <row r="7" spans="1:1" x14ac:dyDescent="0.7">
      <c r="A7" s="6" t="s">
        <v>13</v>
      </c>
    </row>
    <row r="8" spans="1:1" x14ac:dyDescent="0.7">
      <c r="A8" s="6" t="s">
        <v>14</v>
      </c>
    </row>
    <row r="9" spans="1:1" x14ac:dyDescent="0.7">
      <c r="A9" s="3"/>
    </row>
    <row r="10" spans="1:1" x14ac:dyDescent="0.7">
      <c r="A10" s="4" t="s">
        <v>15</v>
      </c>
    </row>
    <row r="11" spans="1:1" x14ac:dyDescent="0.7">
      <c r="A11" s="3"/>
    </row>
    <row r="12" spans="1:1" x14ac:dyDescent="0.7">
      <c r="A12" s="3"/>
    </row>
    <row r="13" spans="1:1" x14ac:dyDescent="0.7">
      <c r="A13" s="5" t="s">
        <v>16</v>
      </c>
    </row>
    <row r="14" spans="1:1" x14ac:dyDescent="0.7">
      <c r="A14" s="6" t="s">
        <v>17</v>
      </c>
    </row>
    <row r="15" spans="1:1" x14ac:dyDescent="0.7">
      <c r="A15" s="3"/>
    </row>
    <row r="16" spans="1:1" x14ac:dyDescent="0.7">
      <c r="A16" s="4" t="s">
        <v>18</v>
      </c>
    </row>
    <row r="17" spans="1:1" x14ac:dyDescent="0.7">
      <c r="A17" s="3"/>
    </row>
    <row r="18" spans="1:1" x14ac:dyDescent="0.7">
      <c r="A18" s="3"/>
    </row>
    <row r="19" spans="1:1" x14ac:dyDescent="0.7">
      <c r="A19" s="5" t="s">
        <v>19</v>
      </c>
    </row>
    <row r="20" spans="1:1" x14ac:dyDescent="0.7">
      <c r="A20" s="6" t="s">
        <v>20</v>
      </c>
    </row>
    <row r="21" spans="1:1" x14ac:dyDescent="0.7">
      <c r="A21" s="3"/>
    </row>
    <row r="22" spans="1:1" x14ac:dyDescent="0.7">
      <c r="A22" s="4" t="s">
        <v>21</v>
      </c>
    </row>
    <row r="23" spans="1:1" x14ac:dyDescent="0.7">
      <c r="A23" s="3"/>
    </row>
    <row r="24" spans="1:1" x14ac:dyDescent="0.7">
      <c r="A24" s="3"/>
    </row>
    <row r="25" spans="1:1" x14ac:dyDescent="0.7">
      <c r="A25" s="5" t="s">
        <v>22</v>
      </c>
    </row>
    <row r="26" spans="1:1" x14ac:dyDescent="0.7">
      <c r="A26" s="6" t="s">
        <v>23</v>
      </c>
    </row>
    <row r="27" spans="1:1" x14ac:dyDescent="0.7">
      <c r="A27" s="3"/>
    </row>
    <row r="28" spans="1:1" x14ac:dyDescent="0.7">
      <c r="A28" s="4" t="s">
        <v>24</v>
      </c>
    </row>
    <row r="29" spans="1:1" x14ac:dyDescent="0.7">
      <c r="A29" s="3"/>
    </row>
    <row r="30" spans="1:1" x14ac:dyDescent="0.7">
      <c r="A30" s="3"/>
    </row>
    <row r="31" spans="1:1" x14ac:dyDescent="0.7">
      <c r="A31" s="5" t="s">
        <v>25</v>
      </c>
    </row>
    <row r="32" spans="1:1" x14ac:dyDescent="0.7">
      <c r="A32" s="6" t="s">
        <v>26</v>
      </c>
    </row>
    <row r="34" spans="1:1" x14ac:dyDescent="0.7">
      <c r="A34" t="s">
        <v>27</v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7E0CB-6AD7-47EC-92A9-E01955F85FCD}">
  <dimension ref="A1:D29"/>
  <sheetViews>
    <sheetView workbookViewId="0">
      <selection activeCell="C7" sqref="C7"/>
    </sheetView>
  </sheetViews>
  <sheetFormatPr defaultRowHeight="17.649999999999999" x14ac:dyDescent="0.7"/>
  <cols>
    <col min="1" max="1" width="7.625" style="10" bestFit="1" customWidth="1"/>
    <col min="2" max="2" width="6.8125" style="10" bestFit="1" customWidth="1"/>
    <col min="3" max="3" width="31.875" style="10" bestFit="1" customWidth="1"/>
    <col min="5" max="5" width="18.25" bestFit="1" customWidth="1"/>
    <col min="6" max="6" width="22.0625" bestFit="1" customWidth="1"/>
  </cols>
  <sheetData>
    <row r="1" spans="1:4" x14ac:dyDescent="0.7">
      <c r="A1" s="9" t="s">
        <v>62</v>
      </c>
      <c r="B1" s="9" t="s">
        <v>63</v>
      </c>
      <c r="C1" s="9" t="s">
        <v>64</v>
      </c>
    </row>
    <row r="2" spans="1:4" x14ac:dyDescent="0.7">
      <c r="A2" s="10" t="s">
        <v>65</v>
      </c>
      <c r="B2" s="10" t="s">
        <v>66</v>
      </c>
      <c r="C2" s="10" t="s">
        <v>67</v>
      </c>
      <c r="D2" s="10" t="s">
        <v>190</v>
      </c>
    </row>
    <row r="3" spans="1:4" x14ac:dyDescent="0.7">
      <c r="A3" s="10" t="s">
        <v>65</v>
      </c>
      <c r="B3" s="10" t="s">
        <v>68</v>
      </c>
      <c r="C3" s="10" t="s">
        <v>192</v>
      </c>
      <c r="D3" s="10" t="s">
        <v>190</v>
      </c>
    </row>
    <row r="4" spans="1:4" x14ac:dyDescent="0.7">
      <c r="A4" s="10" t="s">
        <v>65</v>
      </c>
      <c r="B4" s="10" t="s">
        <v>69</v>
      </c>
      <c r="C4" s="10" t="s">
        <v>193</v>
      </c>
      <c r="D4" s="10" t="s">
        <v>190</v>
      </c>
    </row>
    <row r="5" spans="1:4" x14ac:dyDescent="0.7">
      <c r="A5" s="10" t="s">
        <v>65</v>
      </c>
      <c r="B5" s="10" t="s">
        <v>70</v>
      </c>
      <c r="C5" s="10" t="s">
        <v>194</v>
      </c>
      <c r="D5" s="10" t="s">
        <v>190</v>
      </c>
    </row>
    <row r="6" spans="1:4" x14ac:dyDescent="0.7">
      <c r="A6" s="10" t="s">
        <v>65</v>
      </c>
      <c r="B6" s="10" t="s">
        <v>71</v>
      </c>
      <c r="C6" s="10" t="s">
        <v>197</v>
      </c>
      <c r="D6" s="10" t="s">
        <v>190</v>
      </c>
    </row>
    <row r="7" spans="1:4" x14ac:dyDescent="0.7">
      <c r="A7" s="10" t="s">
        <v>65</v>
      </c>
      <c r="B7" s="10" t="s">
        <v>72</v>
      </c>
      <c r="C7" s="10" t="s">
        <v>73</v>
      </c>
    </row>
    <row r="8" spans="1:4" x14ac:dyDescent="0.7">
      <c r="A8" s="10" t="s">
        <v>65</v>
      </c>
      <c r="B8" s="10" t="s">
        <v>74</v>
      </c>
      <c r="C8" s="10" t="s">
        <v>75</v>
      </c>
    </row>
    <row r="9" spans="1:4" x14ac:dyDescent="0.7">
      <c r="A9" s="10" t="s">
        <v>76</v>
      </c>
      <c r="B9" s="10" t="s">
        <v>77</v>
      </c>
      <c r="C9" s="10" t="s">
        <v>78</v>
      </c>
    </row>
    <row r="10" spans="1:4" x14ac:dyDescent="0.7">
      <c r="A10" s="10" t="s">
        <v>76</v>
      </c>
      <c r="B10" s="10" t="s">
        <v>79</v>
      </c>
      <c r="C10" s="10" t="s">
        <v>80</v>
      </c>
    </row>
    <row r="11" spans="1:4" x14ac:dyDescent="0.7">
      <c r="A11" s="10" t="s">
        <v>76</v>
      </c>
      <c r="B11" s="10" t="s">
        <v>81</v>
      </c>
      <c r="C11" s="10" t="s">
        <v>82</v>
      </c>
    </row>
    <row r="12" spans="1:4" x14ac:dyDescent="0.7">
      <c r="A12" s="10" t="s">
        <v>76</v>
      </c>
      <c r="B12" s="10" t="s">
        <v>83</v>
      </c>
      <c r="C12" s="10" t="s">
        <v>84</v>
      </c>
    </row>
    <row r="13" spans="1:4" x14ac:dyDescent="0.7">
      <c r="A13" s="10" t="s">
        <v>76</v>
      </c>
      <c r="B13" s="10" t="s">
        <v>85</v>
      </c>
      <c r="C13" s="10" t="s">
        <v>86</v>
      </c>
    </row>
    <row r="14" spans="1:4" x14ac:dyDescent="0.7">
      <c r="A14" s="10" t="s">
        <v>76</v>
      </c>
      <c r="B14" s="10" t="s">
        <v>87</v>
      </c>
      <c r="C14" s="10" t="s">
        <v>88</v>
      </c>
    </row>
    <row r="15" spans="1:4" x14ac:dyDescent="0.7">
      <c r="A15" s="10" t="s">
        <v>76</v>
      </c>
      <c r="B15" s="10" t="s">
        <v>89</v>
      </c>
      <c r="C15" s="10" t="s">
        <v>75</v>
      </c>
    </row>
    <row r="16" spans="1:4" x14ac:dyDescent="0.7">
      <c r="A16" s="10" t="s">
        <v>90</v>
      </c>
      <c r="B16" s="10" t="s">
        <v>91</v>
      </c>
      <c r="C16" s="10" t="s">
        <v>92</v>
      </c>
    </row>
    <row r="17" spans="1:3" x14ac:dyDescent="0.7">
      <c r="A17" s="10" t="s">
        <v>90</v>
      </c>
      <c r="B17" s="10" t="s">
        <v>93</v>
      </c>
      <c r="C17" s="10" t="s">
        <v>94</v>
      </c>
    </row>
    <row r="18" spans="1:3" x14ac:dyDescent="0.7">
      <c r="A18" s="10" t="s">
        <v>90</v>
      </c>
      <c r="B18" s="10" t="s">
        <v>95</v>
      </c>
      <c r="C18" s="10" t="s">
        <v>96</v>
      </c>
    </row>
    <row r="19" spans="1:3" x14ac:dyDescent="0.7">
      <c r="A19" s="10" t="s">
        <v>90</v>
      </c>
      <c r="B19" s="10" t="s">
        <v>97</v>
      </c>
      <c r="C19" s="10" t="s">
        <v>98</v>
      </c>
    </row>
    <row r="20" spans="1:3" x14ac:dyDescent="0.7">
      <c r="A20" s="10" t="s">
        <v>90</v>
      </c>
      <c r="B20" s="10" t="s">
        <v>99</v>
      </c>
      <c r="C20" s="10" t="s">
        <v>100</v>
      </c>
    </row>
    <row r="21" spans="1:3" x14ac:dyDescent="0.7">
      <c r="A21" s="10" t="s">
        <v>90</v>
      </c>
      <c r="B21" s="10" t="s">
        <v>101</v>
      </c>
      <c r="C21" s="10" t="s">
        <v>102</v>
      </c>
    </row>
    <row r="22" spans="1:3" x14ac:dyDescent="0.7">
      <c r="A22" s="10" t="s">
        <v>90</v>
      </c>
      <c r="B22" s="10" t="s">
        <v>103</v>
      </c>
      <c r="C22" s="10" t="s">
        <v>104</v>
      </c>
    </row>
    <row r="23" spans="1:3" x14ac:dyDescent="0.7">
      <c r="A23" s="10" t="s">
        <v>105</v>
      </c>
      <c r="B23" s="10" t="s">
        <v>106</v>
      </c>
      <c r="C23" s="10" t="s">
        <v>107</v>
      </c>
    </row>
    <row r="24" spans="1:3" x14ac:dyDescent="0.7">
      <c r="A24" s="10" t="s">
        <v>105</v>
      </c>
      <c r="B24" s="10" t="s">
        <v>108</v>
      </c>
      <c r="C24" s="10" t="s">
        <v>109</v>
      </c>
    </row>
    <row r="25" spans="1:3" x14ac:dyDescent="0.7">
      <c r="A25" s="10" t="s">
        <v>105</v>
      </c>
      <c r="B25" s="10" t="s">
        <v>110</v>
      </c>
      <c r="C25" s="10" t="s">
        <v>111</v>
      </c>
    </row>
    <row r="26" spans="1:3" x14ac:dyDescent="0.7">
      <c r="A26" s="10" t="s">
        <v>105</v>
      </c>
      <c r="B26" s="10" t="s">
        <v>112</v>
      </c>
      <c r="C26" s="10" t="s">
        <v>113</v>
      </c>
    </row>
    <row r="27" spans="1:3" x14ac:dyDescent="0.7">
      <c r="A27" s="10" t="s">
        <v>105</v>
      </c>
      <c r="B27" s="10" t="s">
        <v>114</v>
      </c>
      <c r="C27" s="10" t="s">
        <v>115</v>
      </c>
    </row>
    <row r="28" spans="1:3" x14ac:dyDescent="0.7">
      <c r="A28" s="10" t="s">
        <v>105</v>
      </c>
      <c r="B28" s="10" t="s">
        <v>116</v>
      </c>
      <c r="C28" s="10" t="s">
        <v>117</v>
      </c>
    </row>
    <row r="29" spans="1:3" x14ac:dyDescent="0.7">
      <c r="A29" s="10" t="s">
        <v>105</v>
      </c>
      <c r="B29" s="10" t="s">
        <v>118</v>
      </c>
      <c r="C29" s="10" t="s">
        <v>119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5575-AC75-4AE7-A208-0B37ADC118B6}">
  <dimension ref="A1:C30"/>
  <sheetViews>
    <sheetView workbookViewId="0">
      <selection activeCell="B4" sqref="B4"/>
    </sheetView>
  </sheetViews>
  <sheetFormatPr defaultRowHeight="17.649999999999999" x14ac:dyDescent="0.7"/>
  <cols>
    <col min="1" max="1" width="17.0625" bestFit="1" customWidth="1"/>
    <col min="2" max="2" width="65.0625" bestFit="1" customWidth="1"/>
  </cols>
  <sheetData>
    <row r="1" spans="1:3" x14ac:dyDescent="0.7">
      <c r="A1" s="9" t="s">
        <v>63</v>
      </c>
      <c r="B1" s="9" t="s">
        <v>64</v>
      </c>
    </row>
    <row r="2" spans="1:3" x14ac:dyDescent="0.7">
      <c r="A2" s="10" t="s">
        <v>120</v>
      </c>
      <c r="B2" s="10" t="s">
        <v>189</v>
      </c>
      <c r="C2" t="s">
        <v>190</v>
      </c>
    </row>
    <row r="3" spans="1:3" x14ac:dyDescent="0.7">
      <c r="A3" s="10"/>
      <c r="B3" s="10" t="s">
        <v>191</v>
      </c>
      <c r="C3" t="s">
        <v>190</v>
      </c>
    </row>
    <row r="4" spans="1:3" x14ac:dyDescent="0.7">
      <c r="A4" s="10" t="s">
        <v>121</v>
      </c>
      <c r="B4" s="10" t="s">
        <v>122</v>
      </c>
      <c r="C4" t="s">
        <v>190</v>
      </c>
    </row>
    <row r="5" spans="1:3" x14ac:dyDescent="0.7">
      <c r="A5" s="10" t="s">
        <v>123</v>
      </c>
      <c r="B5" s="10" t="s">
        <v>195</v>
      </c>
      <c r="C5" t="s">
        <v>190</v>
      </c>
    </row>
    <row r="6" spans="1:3" x14ac:dyDescent="0.7">
      <c r="A6" s="10" t="s">
        <v>124</v>
      </c>
      <c r="B6" s="10" t="s">
        <v>196</v>
      </c>
    </row>
    <row r="7" spans="1:3" x14ac:dyDescent="0.7">
      <c r="A7" s="10" t="s">
        <v>125</v>
      </c>
      <c r="B7" s="10" t="s">
        <v>126</v>
      </c>
    </row>
    <row r="8" spans="1:3" x14ac:dyDescent="0.7">
      <c r="A8" s="10" t="s">
        <v>127</v>
      </c>
      <c r="B8" s="10" t="s">
        <v>128</v>
      </c>
    </row>
    <row r="9" spans="1:3" x14ac:dyDescent="0.7">
      <c r="A9" s="10" t="s">
        <v>129</v>
      </c>
      <c r="B9" s="10" t="s">
        <v>130</v>
      </c>
    </row>
    <row r="10" spans="1:3" x14ac:dyDescent="0.7">
      <c r="A10" s="10" t="s">
        <v>131</v>
      </c>
      <c r="B10" s="10" t="s">
        <v>132</v>
      </c>
    </row>
    <row r="11" spans="1:3" x14ac:dyDescent="0.7">
      <c r="A11" s="10" t="s">
        <v>133</v>
      </c>
      <c r="B11" s="10" t="s">
        <v>134</v>
      </c>
    </row>
    <row r="12" spans="1:3" x14ac:dyDescent="0.7">
      <c r="A12" s="10" t="s">
        <v>135</v>
      </c>
      <c r="B12" s="10" t="s">
        <v>136</v>
      </c>
    </row>
    <row r="13" spans="1:3" x14ac:dyDescent="0.7">
      <c r="A13" s="10" t="s">
        <v>137</v>
      </c>
      <c r="B13" s="10" t="s">
        <v>138</v>
      </c>
    </row>
    <row r="14" spans="1:3" x14ac:dyDescent="0.7">
      <c r="A14" s="10" t="s">
        <v>139</v>
      </c>
      <c r="B14" s="10" t="s">
        <v>140</v>
      </c>
    </row>
    <row r="15" spans="1:3" x14ac:dyDescent="0.7">
      <c r="A15" s="10" t="s">
        <v>141</v>
      </c>
      <c r="B15" s="10" t="s">
        <v>142</v>
      </c>
    </row>
    <row r="16" spans="1:3" x14ac:dyDescent="0.7">
      <c r="A16" s="10" t="s">
        <v>143</v>
      </c>
      <c r="B16" s="10" t="s">
        <v>144</v>
      </c>
    </row>
    <row r="17" spans="1:2" x14ac:dyDescent="0.7">
      <c r="A17" s="10" t="s">
        <v>145</v>
      </c>
      <c r="B17" s="10" t="s">
        <v>146</v>
      </c>
    </row>
    <row r="18" spans="1:2" x14ac:dyDescent="0.7">
      <c r="A18" s="10" t="s">
        <v>147</v>
      </c>
      <c r="B18" s="10" t="s">
        <v>148</v>
      </c>
    </row>
    <row r="19" spans="1:2" x14ac:dyDescent="0.7">
      <c r="A19" s="10" t="s">
        <v>149</v>
      </c>
      <c r="B19" s="10" t="s">
        <v>150</v>
      </c>
    </row>
    <row r="20" spans="1:2" x14ac:dyDescent="0.7">
      <c r="A20" s="10" t="s">
        <v>151</v>
      </c>
      <c r="B20" s="10" t="s">
        <v>152</v>
      </c>
    </row>
    <row r="21" spans="1:2" x14ac:dyDescent="0.7">
      <c r="A21" s="10" t="s">
        <v>153</v>
      </c>
      <c r="B21" s="10" t="s">
        <v>154</v>
      </c>
    </row>
    <row r="22" spans="1:2" x14ac:dyDescent="0.7">
      <c r="A22" s="10" t="s">
        <v>155</v>
      </c>
      <c r="B22" s="10" t="s">
        <v>156</v>
      </c>
    </row>
    <row r="23" spans="1:2" x14ac:dyDescent="0.7">
      <c r="A23" s="10" t="s">
        <v>157</v>
      </c>
      <c r="B23" s="10" t="s">
        <v>158</v>
      </c>
    </row>
    <row r="24" spans="1:2" x14ac:dyDescent="0.7">
      <c r="A24" s="10" t="s">
        <v>159</v>
      </c>
      <c r="B24" s="10" t="s">
        <v>160</v>
      </c>
    </row>
    <row r="25" spans="1:2" x14ac:dyDescent="0.7">
      <c r="A25" s="10" t="s">
        <v>161</v>
      </c>
      <c r="B25" s="10" t="s">
        <v>162</v>
      </c>
    </row>
    <row r="26" spans="1:2" x14ac:dyDescent="0.7">
      <c r="A26" s="10" t="s">
        <v>163</v>
      </c>
      <c r="B26" s="10" t="s">
        <v>164</v>
      </c>
    </row>
    <row r="27" spans="1:2" x14ac:dyDescent="0.7">
      <c r="A27" s="10" t="s">
        <v>165</v>
      </c>
      <c r="B27" s="10" t="s">
        <v>166</v>
      </c>
    </row>
    <row r="28" spans="1:2" x14ac:dyDescent="0.7">
      <c r="A28" s="10" t="s">
        <v>167</v>
      </c>
      <c r="B28" s="10" t="s">
        <v>168</v>
      </c>
    </row>
    <row r="29" spans="1:2" x14ac:dyDescent="0.7">
      <c r="A29" s="10" t="s">
        <v>169</v>
      </c>
      <c r="B29" s="10" t="s">
        <v>170</v>
      </c>
    </row>
    <row r="30" spans="1:2" x14ac:dyDescent="0.7">
      <c r="A30" s="10" t="s">
        <v>171</v>
      </c>
      <c r="B30" s="10" t="s">
        <v>172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BA1A-E182-4834-9F9A-12FE00D49025}">
  <dimension ref="A1:B31"/>
  <sheetViews>
    <sheetView workbookViewId="0">
      <selection activeCell="B13" sqref="B13"/>
    </sheetView>
  </sheetViews>
  <sheetFormatPr defaultRowHeight="17.649999999999999" x14ac:dyDescent="0.7"/>
  <cols>
    <col min="1" max="1" width="6.75" style="10" bestFit="1" customWidth="1"/>
    <col min="2" max="2" width="81.6875" style="10" bestFit="1" customWidth="1"/>
  </cols>
  <sheetData>
    <row r="1" spans="1:2" x14ac:dyDescent="0.7">
      <c r="A1" s="9" t="s">
        <v>63</v>
      </c>
      <c r="B1" s="9" t="s">
        <v>198</v>
      </c>
    </row>
    <row r="2" spans="1:2" x14ac:dyDescent="0.7">
      <c r="A2" s="10" t="s">
        <v>199</v>
      </c>
      <c r="B2" s="10" t="s">
        <v>257</v>
      </c>
    </row>
    <row r="3" spans="1:2" x14ac:dyDescent="0.7">
      <c r="A3" s="10" t="s">
        <v>200</v>
      </c>
      <c r="B3" s="10" t="s">
        <v>201</v>
      </c>
    </row>
    <row r="4" spans="1:2" x14ac:dyDescent="0.7">
      <c r="A4" s="10" t="s">
        <v>202</v>
      </c>
      <c r="B4" s="10" t="s">
        <v>203</v>
      </c>
    </row>
    <row r="5" spans="1:2" x14ac:dyDescent="0.7">
      <c r="A5" s="10" t="s">
        <v>204</v>
      </c>
      <c r="B5" s="10" t="s">
        <v>205</v>
      </c>
    </row>
    <row r="6" spans="1:2" x14ac:dyDescent="0.7">
      <c r="A6" s="10" t="s">
        <v>206</v>
      </c>
      <c r="B6" s="10" t="s">
        <v>207</v>
      </c>
    </row>
    <row r="7" spans="1:2" x14ac:dyDescent="0.7">
      <c r="A7" s="10" t="s">
        <v>208</v>
      </c>
      <c r="B7" s="10" t="s">
        <v>209</v>
      </c>
    </row>
    <row r="8" spans="1:2" x14ac:dyDescent="0.7">
      <c r="A8" s="10" t="s">
        <v>210</v>
      </c>
      <c r="B8" s="10" t="s">
        <v>211</v>
      </c>
    </row>
    <row r="9" spans="1:2" x14ac:dyDescent="0.7">
      <c r="A9" s="10" t="s">
        <v>212</v>
      </c>
      <c r="B9" s="10" t="s">
        <v>213</v>
      </c>
    </row>
    <row r="10" spans="1:2" x14ac:dyDescent="0.7">
      <c r="A10" s="10" t="s">
        <v>214</v>
      </c>
      <c r="B10" s="10" t="s">
        <v>215</v>
      </c>
    </row>
    <row r="11" spans="1:2" x14ac:dyDescent="0.7">
      <c r="A11" s="10" t="s">
        <v>216</v>
      </c>
      <c r="B11" s="10" t="s">
        <v>217</v>
      </c>
    </row>
    <row r="12" spans="1:2" x14ac:dyDescent="0.7">
      <c r="A12" s="10" t="s">
        <v>218</v>
      </c>
      <c r="B12" s="10" t="s">
        <v>219</v>
      </c>
    </row>
    <row r="13" spans="1:2" x14ac:dyDescent="0.7">
      <c r="A13" s="10" t="s">
        <v>220</v>
      </c>
      <c r="B13" s="10" t="s">
        <v>221</v>
      </c>
    </row>
    <row r="14" spans="1:2" x14ac:dyDescent="0.7">
      <c r="A14" s="10" t="s">
        <v>222</v>
      </c>
      <c r="B14" s="10" t="s">
        <v>223</v>
      </c>
    </row>
    <row r="15" spans="1:2" x14ac:dyDescent="0.7">
      <c r="A15" s="10" t="s">
        <v>224</v>
      </c>
      <c r="B15" s="10" t="s">
        <v>225</v>
      </c>
    </row>
    <row r="16" spans="1:2" x14ac:dyDescent="0.7">
      <c r="A16" s="10" t="s">
        <v>226</v>
      </c>
      <c r="B16" s="10" t="s">
        <v>227</v>
      </c>
    </row>
    <row r="17" spans="1:2" x14ac:dyDescent="0.7">
      <c r="A17" s="10" t="s">
        <v>228</v>
      </c>
      <c r="B17" s="10" t="s">
        <v>229</v>
      </c>
    </row>
    <row r="18" spans="1:2" x14ac:dyDescent="0.7">
      <c r="A18" s="10" t="s">
        <v>230</v>
      </c>
      <c r="B18" s="10" t="s">
        <v>231</v>
      </c>
    </row>
    <row r="19" spans="1:2" x14ac:dyDescent="0.7">
      <c r="A19" s="10" t="s">
        <v>232</v>
      </c>
      <c r="B19" s="10" t="s">
        <v>233</v>
      </c>
    </row>
    <row r="20" spans="1:2" x14ac:dyDescent="0.7">
      <c r="A20" s="10" t="s">
        <v>234</v>
      </c>
      <c r="B20" s="10" t="s">
        <v>235</v>
      </c>
    </row>
    <row r="21" spans="1:2" x14ac:dyDescent="0.7">
      <c r="A21" s="10" t="s">
        <v>236</v>
      </c>
      <c r="B21" s="10" t="s">
        <v>223</v>
      </c>
    </row>
    <row r="22" spans="1:2" x14ac:dyDescent="0.7">
      <c r="A22" s="10" t="s">
        <v>237</v>
      </c>
      <c r="B22" s="10" t="s">
        <v>238</v>
      </c>
    </row>
    <row r="23" spans="1:2" x14ac:dyDescent="0.7">
      <c r="A23" s="10" t="s">
        <v>239</v>
      </c>
      <c r="B23" s="10" t="s">
        <v>240</v>
      </c>
    </row>
    <row r="24" spans="1:2" x14ac:dyDescent="0.7">
      <c r="A24" s="10" t="s">
        <v>241</v>
      </c>
      <c r="B24" s="10" t="s">
        <v>242</v>
      </c>
    </row>
    <row r="25" spans="1:2" x14ac:dyDescent="0.7">
      <c r="A25" s="10" t="s">
        <v>243</v>
      </c>
      <c r="B25" s="10" t="s">
        <v>244</v>
      </c>
    </row>
    <row r="26" spans="1:2" x14ac:dyDescent="0.7">
      <c r="A26" s="10" t="s">
        <v>245</v>
      </c>
      <c r="B26" s="10" t="s">
        <v>246</v>
      </c>
    </row>
    <row r="27" spans="1:2" x14ac:dyDescent="0.7">
      <c r="A27" s="10" t="s">
        <v>247</v>
      </c>
      <c r="B27" s="10" t="s">
        <v>248</v>
      </c>
    </row>
    <row r="28" spans="1:2" x14ac:dyDescent="0.7">
      <c r="A28" s="10" t="s">
        <v>249</v>
      </c>
      <c r="B28" s="10" t="s">
        <v>250</v>
      </c>
    </row>
    <row r="29" spans="1:2" x14ac:dyDescent="0.7">
      <c r="A29" s="10" t="s">
        <v>251</v>
      </c>
      <c r="B29" s="10" t="s">
        <v>252</v>
      </c>
    </row>
    <row r="30" spans="1:2" x14ac:dyDescent="0.7">
      <c r="A30" s="10" t="s">
        <v>253</v>
      </c>
      <c r="B30" s="10" t="s">
        <v>254</v>
      </c>
    </row>
    <row r="31" spans="1:2" x14ac:dyDescent="0.7">
      <c r="A31" s="10" t="s">
        <v>255</v>
      </c>
      <c r="B31" s="10" t="s">
        <v>256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2AFA2-FBD1-4005-986E-EE93A70889E4}">
  <dimension ref="A1:D61"/>
  <sheetViews>
    <sheetView tabSelected="1" workbookViewId="0">
      <selection sqref="A1:D1048576"/>
    </sheetView>
  </sheetViews>
  <sheetFormatPr defaultRowHeight="17.649999999999999" x14ac:dyDescent="0.7"/>
  <cols>
    <col min="1" max="1" width="6.625" style="10" bestFit="1" customWidth="1"/>
    <col min="2" max="2" width="32.25" style="10" bestFit="1" customWidth="1"/>
    <col min="3" max="3" width="31.25" style="10" bestFit="1" customWidth="1"/>
    <col min="4" max="4" width="14.375" style="10" bestFit="1" customWidth="1"/>
  </cols>
  <sheetData>
    <row r="1" spans="1:4" x14ac:dyDescent="0.7">
      <c r="A1" s="9" t="s">
        <v>258</v>
      </c>
      <c r="B1" s="9" t="s">
        <v>259</v>
      </c>
      <c r="C1" s="9" t="s">
        <v>260</v>
      </c>
      <c r="D1" s="9" t="s">
        <v>261</v>
      </c>
    </row>
    <row r="2" spans="1:4" x14ac:dyDescent="0.7">
      <c r="A2" s="10" t="s">
        <v>66</v>
      </c>
      <c r="B2" s="10" t="s">
        <v>262</v>
      </c>
      <c r="C2" s="10" t="s">
        <v>263</v>
      </c>
      <c r="D2" s="10" t="s">
        <v>264</v>
      </c>
    </row>
    <row r="3" spans="1:4" x14ac:dyDescent="0.7">
      <c r="A3" s="10" t="s">
        <v>68</v>
      </c>
      <c r="B3" s="10" t="s">
        <v>265</v>
      </c>
      <c r="C3" s="10" t="s">
        <v>266</v>
      </c>
      <c r="D3" s="10" t="s">
        <v>267</v>
      </c>
    </row>
    <row r="4" spans="1:4" x14ac:dyDescent="0.7">
      <c r="A4" s="10" t="s">
        <v>69</v>
      </c>
      <c r="B4" s="10" t="s">
        <v>268</v>
      </c>
      <c r="C4" s="10" t="s">
        <v>269</v>
      </c>
      <c r="D4" s="10" t="s">
        <v>267</v>
      </c>
    </row>
    <row r="5" spans="1:4" x14ac:dyDescent="0.7">
      <c r="A5" s="10" t="s">
        <v>70</v>
      </c>
      <c r="B5" s="10" t="s">
        <v>270</v>
      </c>
      <c r="C5" s="10" t="s">
        <v>271</v>
      </c>
      <c r="D5" s="10" t="s">
        <v>272</v>
      </c>
    </row>
    <row r="6" spans="1:4" x14ac:dyDescent="0.7">
      <c r="A6" s="10" t="s">
        <v>71</v>
      </c>
      <c r="B6" s="10" t="s">
        <v>273</v>
      </c>
      <c r="C6" s="10" t="s">
        <v>274</v>
      </c>
      <c r="D6" s="10" t="s">
        <v>272</v>
      </c>
    </row>
    <row r="7" spans="1:4" x14ac:dyDescent="0.7">
      <c r="A7" s="10" t="s">
        <v>72</v>
      </c>
      <c r="B7" s="10" t="s">
        <v>275</v>
      </c>
      <c r="C7" s="10" t="s">
        <v>276</v>
      </c>
      <c r="D7" s="10" t="s">
        <v>277</v>
      </c>
    </row>
    <row r="8" spans="1:4" x14ac:dyDescent="0.7">
      <c r="A8" s="10" t="s">
        <v>74</v>
      </c>
      <c r="B8" s="10" t="s">
        <v>278</v>
      </c>
      <c r="C8" s="10" t="s">
        <v>279</v>
      </c>
      <c r="D8" s="10" t="s">
        <v>280</v>
      </c>
    </row>
    <row r="9" spans="1:4" x14ac:dyDescent="0.7">
      <c r="A9" s="10" t="s">
        <v>77</v>
      </c>
      <c r="B9" s="10" t="s">
        <v>281</v>
      </c>
      <c r="C9" s="10" t="s">
        <v>282</v>
      </c>
      <c r="D9" s="10" t="s">
        <v>272</v>
      </c>
    </row>
    <row r="10" spans="1:4" x14ac:dyDescent="0.7">
      <c r="A10" s="10" t="s">
        <v>79</v>
      </c>
      <c r="B10" s="10" t="s">
        <v>283</v>
      </c>
      <c r="C10" s="10" t="s">
        <v>284</v>
      </c>
      <c r="D10" s="10" t="s">
        <v>277</v>
      </c>
    </row>
    <row r="11" spans="1:4" x14ac:dyDescent="0.7">
      <c r="A11" s="10" t="s">
        <v>81</v>
      </c>
      <c r="B11" s="10" t="s">
        <v>285</v>
      </c>
      <c r="C11" s="10" t="s">
        <v>286</v>
      </c>
      <c r="D11" s="10" t="s">
        <v>287</v>
      </c>
    </row>
    <row r="12" spans="1:4" x14ac:dyDescent="0.7">
      <c r="A12" s="10" t="s">
        <v>83</v>
      </c>
      <c r="B12" s="10" t="s">
        <v>288</v>
      </c>
      <c r="C12" s="10" t="s">
        <v>289</v>
      </c>
      <c r="D12" s="10" t="s">
        <v>280</v>
      </c>
    </row>
    <row r="13" spans="1:4" x14ac:dyDescent="0.7">
      <c r="A13" s="10" t="s">
        <v>85</v>
      </c>
      <c r="B13" s="10" t="s">
        <v>290</v>
      </c>
      <c r="C13" s="10" t="s">
        <v>291</v>
      </c>
      <c r="D13" s="10" t="s">
        <v>277</v>
      </c>
    </row>
    <row r="14" spans="1:4" x14ac:dyDescent="0.7">
      <c r="A14" s="10" t="s">
        <v>87</v>
      </c>
      <c r="B14" s="10" t="s">
        <v>292</v>
      </c>
      <c r="C14" s="10" t="s">
        <v>293</v>
      </c>
      <c r="D14" s="10" t="s">
        <v>272</v>
      </c>
    </row>
    <row r="15" spans="1:4" x14ac:dyDescent="0.7">
      <c r="A15" s="10" t="s">
        <v>89</v>
      </c>
      <c r="B15" s="10" t="s">
        <v>294</v>
      </c>
      <c r="C15" s="10" t="s">
        <v>294</v>
      </c>
      <c r="D15" s="10" t="s">
        <v>277</v>
      </c>
    </row>
    <row r="16" spans="1:4" x14ac:dyDescent="0.7">
      <c r="A16" s="10" t="s">
        <v>91</v>
      </c>
      <c r="B16" s="10" t="s">
        <v>295</v>
      </c>
      <c r="C16" s="10" t="s">
        <v>296</v>
      </c>
      <c r="D16" s="10" t="s">
        <v>297</v>
      </c>
    </row>
    <row r="17" spans="1:4" x14ac:dyDescent="0.7">
      <c r="A17" s="10" t="s">
        <v>93</v>
      </c>
      <c r="B17" s="10" t="s">
        <v>298</v>
      </c>
      <c r="C17" s="10" t="s">
        <v>299</v>
      </c>
      <c r="D17" s="10" t="s">
        <v>277</v>
      </c>
    </row>
    <row r="18" spans="1:4" x14ac:dyDescent="0.7">
      <c r="A18" s="10" t="s">
        <v>95</v>
      </c>
      <c r="B18" s="10" t="s">
        <v>300</v>
      </c>
      <c r="C18" s="10" t="s">
        <v>301</v>
      </c>
      <c r="D18" s="10" t="s">
        <v>272</v>
      </c>
    </row>
    <row r="19" spans="1:4" x14ac:dyDescent="0.7">
      <c r="A19" s="10" t="s">
        <v>97</v>
      </c>
      <c r="B19" s="10" t="s">
        <v>302</v>
      </c>
      <c r="C19" s="10" t="s">
        <v>303</v>
      </c>
      <c r="D19" s="10" t="s">
        <v>277</v>
      </c>
    </row>
    <row r="20" spans="1:4" x14ac:dyDescent="0.7">
      <c r="A20" s="10" t="s">
        <v>99</v>
      </c>
      <c r="B20" s="10" t="s">
        <v>304</v>
      </c>
      <c r="C20" s="10" t="s">
        <v>305</v>
      </c>
      <c r="D20" s="10" t="s">
        <v>272</v>
      </c>
    </row>
    <row r="21" spans="1:4" x14ac:dyDescent="0.7">
      <c r="A21" s="10" t="s">
        <v>101</v>
      </c>
      <c r="B21" s="10" t="s">
        <v>306</v>
      </c>
      <c r="C21" s="10" t="s">
        <v>307</v>
      </c>
      <c r="D21" s="10" t="s">
        <v>277</v>
      </c>
    </row>
    <row r="22" spans="1:4" x14ac:dyDescent="0.7">
      <c r="A22" s="10" t="s">
        <v>103</v>
      </c>
      <c r="B22" s="10" t="s">
        <v>308</v>
      </c>
      <c r="C22" s="10" t="s">
        <v>309</v>
      </c>
      <c r="D22" s="10" t="s">
        <v>310</v>
      </c>
    </row>
    <row r="23" spans="1:4" x14ac:dyDescent="0.7">
      <c r="A23" s="10" t="s">
        <v>106</v>
      </c>
      <c r="B23" s="10" t="s">
        <v>277</v>
      </c>
      <c r="C23" s="10" t="s">
        <v>277</v>
      </c>
      <c r="D23" s="10" t="s">
        <v>297</v>
      </c>
    </row>
    <row r="24" spans="1:4" x14ac:dyDescent="0.7">
      <c r="A24" s="10" t="s">
        <v>108</v>
      </c>
      <c r="B24" s="10" t="s">
        <v>311</v>
      </c>
      <c r="C24" s="10" t="s">
        <v>312</v>
      </c>
      <c r="D24" s="10" t="s">
        <v>313</v>
      </c>
    </row>
    <row r="25" spans="1:4" x14ac:dyDescent="0.7">
      <c r="A25" s="10" t="s">
        <v>110</v>
      </c>
      <c r="B25" s="10" t="s">
        <v>314</v>
      </c>
      <c r="C25" s="10" t="s">
        <v>315</v>
      </c>
      <c r="D25" s="10" t="s">
        <v>267</v>
      </c>
    </row>
    <row r="26" spans="1:4" x14ac:dyDescent="0.7">
      <c r="A26" s="10" t="s">
        <v>112</v>
      </c>
      <c r="B26" s="10" t="s">
        <v>316</v>
      </c>
      <c r="C26" s="10" t="s">
        <v>317</v>
      </c>
      <c r="D26" s="10" t="s">
        <v>277</v>
      </c>
    </row>
    <row r="27" spans="1:4" x14ac:dyDescent="0.7">
      <c r="A27" s="10" t="s">
        <v>114</v>
      </c>
      <c r="B27" s="10" t="s">
        <v>318</v>
      </c>
      <c r="C27" s="10" t="s">
        <v>319</v>
      </c>
      <c r="D27" s="10" t="s">
        <v>313</v>
      </c>
    </row>
    <row r="28" spans="1:4" x14ac:dyDescent="0.7">
      <c r="A28" s="10" t="s">
        <v>116</v>
      </c>
      <c r="B28" s="10" t="s">
        <v>320</v>
      </c>
      <c r="C28" s="10" t="s">
        <v>321</v>
      </c>
      <c r="D28" s="10" t="s">
        <v>297</v>
      </c>
    </row>
    <row r="29" spans="1:4" x14ac:dyDescent="0.7">
      <c r="A29" s="10" t="s">
        <v>118</v>
      </c>
      <c r="B29" s="10" t="s">
        <v>322</v>
      </c>
      <c r="C29" s="10" t="s">
        <v>323</v>
      </c>
      <c r="D29" s="10" t="s">
        <v>324</v>
      </c>
    </row>
    <row r="30" spans="1:4" x14ac:dyDescent="0.7">
      <c r="A30" s="10" t="s">
        <v>325</v>
      </c>
      <c r="B30" s="10" t="s">
        <v>326</v>
      </c>
      <c r="C30" s="10" t="s">
        <v>327</v>
      </c>
      <c r="D30" s="10" t="s">
        <v>313</v>
      </c>
    </row>
    <row r="31" spans="1:4" x14ac:dyDescent="0.7">
      <c r="A31" s="10" t="s">
        <v>328</v>
      </c>
      <c r="B31" s="10" t="s">
        <v>329</v>
      </c>
      <c r="C31" s="10" t="s">
        <v>329</v>
      </c>
      <c r="D31" s="10" t="s">
        <v>330</v>
      </c>
    </row>
    <row r="32" spans="1:4" x14ac:dyDescent="0.7">
      <c r="A32" s="10" t="s">
        <v>331</v>
      </c>
      <c r="B32" s="10" t="s">
        <v>332</v>
      </c>
      <c r="C32" s="10" t="s">
        <v>333</v>
      </c>
      <c r="D32" s="10" t="s">
        <v>267</v>
      </c>
    </row>
    <row r="33" spans="1:4" x14ac:dyDescent="0.7">
      <c r="A33" s="10" t="s">
        <v>334</v>
      </c>
      <c r="B33" s="10" t="s">
        <v>335</v>
      </c>
      <c r="C33" s="10" t="s">
        <v>336</v>
      </c>
      <c r="D33" s="10" t="s">
        <v>297</v>
      </c>
    </row>
    <row r="34" spans="1:4" x14ac:dyDescent="0.7">
      <c r="A34" s="10" t="s">
        <v>337</v>
      </c>
      <c r="B34" s="10" t="s">
        <v>338</v>
      </c>
      <c r="C34" s="10" t="s">
        <v>339</v>
      </c>
      <c r="D34" s="10" t="s">
        <v>310</v>
      </c>
    </row>
    <row r="35" spans="1:4" x14ac:dyDescent="0.7">
      <c r="A35" s="10" t="s">
        <v>340</v>
      </c>
      <c r="B35" s="10" t="s">
        <v>341</v>
      </c>
      <c r="C35" s="10" t="s">
        <v>342</v>
      </c>
      <c r="D35" s="10" t="s">
        <v>272</v>
      </c>
    </row>
    <row r="36" spans="1:4" x14ac:dyDescent="0.7">
      <c r="A36" s="10" t="s">
        <v>343</v>
      </c>
      <c r="B36" s="10" t="s">
        <v>344</v>
      </c>
      <c r="C36" s="10" t="s">
        <v>345</v>
      </c>
      <c r="D36" s="10" t="s">
        <v>313</v>
      </c>
    </row>
    <row r="37" spans="1:4" x14ac:dyDescent="0.7">
      <c r="A37" s="10" t="s">
        <v>346</v>
      </c>
      <c r="B37" s="10" t="s">
        <v>347</v>
      </c>
      <c r="C37" s="10" t="s">
        <v>348</v>
      </c>
      <c r="D37" s="10" t="s">
        <v>310</v>
      </c>
    </row>
    <row r="38" spans="1:4" x14ac:dyDescent="0.7">
      <c r="A38" s="10" t="s">
        <v>349</v>
      </c>
      <c r="B38" s="10" t="s">
        <v>350</v>
      </c>
      <c r="C38" s="10" t="s">
        <v>351</v>
      </c>
      <c r="D38" s="10" t="s">
        <v>267</v>
      </c>
    </row>
    <row r="39" spans="1:4" x14ac:dyDescent="0.7">
      <c r="A39" s="10" t="s">
        <v>352</v>
      </c>
      <c r="B39" s="10" t="s">
        <v>353</v>
      </c>
      <c r="C39" s="10" t="s">
        <v>354</v>
      </c>
      <c r="D39" s="10" t="s">
        <v>313</v>
      </c>
    </row>
    <row r="40" spans="1:4" x14ac:dyDescent="0.7">
      <c r="A40" s="10" t="s">
        <v>355</v>
      </c>
      <c r="B40" s="10" t="s">
        <v>356</v>
      </c>
      <c r="C40" s="10" t="s">
        <v>319</v>
      </c>
      <c r="D40" s="10" t="s">
        <v>277</v>
      </c>
    </row>
    <row r="41" spans="1:4" x14ac:dyDescent="0.7">
      <c r="A41" s="10" t="s">
        <v>357</v>
      </c>
      <c r="B41" s="10" t="s">
        <v>358</v>
      </c>
      <c r="C41" s="10" t="s">
        <v>359</v>
      </c>
      <c r="D41" s="10" t="s">
        <v>297</v>
      </c>
    </row>
    <row r="42" spans="1:4" x14ac:dyDescent="0.7">
      <c r="A42" s="10" t="s">
        <v>360</v>
      </c>
      <c r="B42" s="10" t="s">
        <v>361</v>
      </c>
      <c r="C42" s="10" t="s">
        <v>362</v>
      </c>
      <c r="D42" s="10" t="s">
        <v>272</v>
      </c>
    </row>
    <row r="43" spans="1:4" x14ac:dyDescent="0.7">
      <c r="A43" s="10" t="s">
        <v>363</v>
      </c>
      <c r="B43" s="10" t="s">
        <v>364</v>
      </c>
      <c r="C43" s="10" t="s">
        <v>365</v>
      </c>
      <c r="D43" s="10" t="s">
        <v>277</v>
      </c>
    </row>
    <row r="44" spans="1:4" x14ac:dyDescent="0.7">
      <c r="A44" s="10" t="s">
        <v>366</v>
      </c>
      <c r="B44" s="10" t="s">
        <v>367</v>
      </c>
      <c r="C44" s="10" t="s">
        <v>368</v>
      </c>
      <c r="D44" s="10" t="s">
        <v>297</v>
      </c>
    </row>
    <row r="45" spans="1:4" x14ac:dyDescent="0.7">
      <c r="A45" s="10" t="s">
        <v>369</v>
      </c>
      <c r="B45" s="10" t="s">
        <v>370</v>
      </c>
      <c r="C45" s="10" t="s">
        <v>371</v>
      </c>
      <c r="D45" s="10" t="s">
        <v>267</v>
      </c>
    </row>
    <row r="46" spans="1:4" x14ac:dyDescent="0.7">
      <c r="A46" s="10" t="s">
        <v>372</v>
      </c>
      <c r="B46" s="10" t="s">
        <v>373</v>
      </c>
      <c r="C46" s="10" t="s">
        <v>374</v>
      </c>
      <c r="D46" s="10" t="s">
        <v>313</v>
      </c>
    </row>
    <row r="47" spans="1:4" x14ac:dyDescent="0.7">
      <c r="A47" s="10" t="s">
        <v>375</v>
      </c>
      <c r="B47" s="10" t="s">
        <v>376</v>
      </c>
      <c r="C47" s="10" t="s">
        <v>377</v>
      </c>
      <c r="D47" s="10" t="s">
        <v>310</v>
      </c>
    </row>
    <row r="48" spans="1:4" x14ac:dyDescent="0.7">
      <c r="A48" s="10" t="s">
        <v>378</v>
      </c>
      <c r="B48" s="10" t="s">
        <v>379</v>
      </c>
      <c r="C48" s="10" t="s">
        <v>380</v>
      </c>
      <c r="D48" s="10" t="s">
        <v>277</v>
      </c>
    </row>
    <row r="49" spans="1:4" x14ac:dyDescent="0.7">
      <c r="A49" s="10" t="s">
        <v>381</v>
      </c>
      <c r="B49" s="10" t="s">
        <v>382</v>
      </c>
      <c r="C49" s="10" t="s">
        <v>383</v>
      </c>
      <c r="D49" s="10" t="s">
        <v>297</v>
      </c>
    </row>
    <row r="50" spans="1:4" x14ac:dyDescent="0.7">
      <c r="A50" s="10" t="s">
        <v>384</v>
      </c>
      <c r="B50" s="10" t="s">
        <v>385</v>
      </c>
      <c r="C50" s="10" t="s">
        <v>386</v>
      </c>
      <c r="D50" s="10" t="s">
        <v>272</v>
      </c>
    </row>
    <row r="51" spans="1:4" x14ac:dyDescent="0.7">
      <c r="A51" s="10" t="s">
        <v>387</v>
      </c>
      <c r="B51" s="10" t="s">
        <v>388</v>
      </c>
      <c r="C51" s="10" t="s">
        <v>389</v>
      </c>
      <c r="D51" s="10" t="s">
        <v>313</v>
      </c>
    </row>
    <row r="52" spans="1:4" x14ac:dyDescent="0.7">
      <c r="A52" s="10" t="s">
        <v>390</v>
      </c>
      <c r="B52" s="10" t="s">
        <v>391</v>
      </c>
      <c r="C52" s="10" t="s">
        <v>392</v>
      </c>
      <c r="D52" s="10" t="s">
        <v>297</v>
      </c>
    </row>
    <row r="53" spans="1:4" x14ac:dyDescent="0.7">
      <c r="A53" s="10" t="s">
        <v>393</v>
      </c>
      <c r="B53" s="10" t="s">
        <v>394</v>
      </c>
      <c r="C53" s="10" t="s">
        <v>395</v>
      </c>
      <c r="D53" s="10" t="s">
        <v>277</v>
      </c>
    </row>
    <row r="54" spans="1:4" x14ac:dyDescent="0.7">
      <c r="A54" s="10" t="s">
        <v>396</v>
      </c>
      <c r="B54" s="10" t="s">
        <v>397</v>
      </c>
      <c r="C54" s="10" t="s">
        <v>398</v>
      </c>
      <c r="D54" s="10" t="s">
        <v>310</v>
      </c>
    </row>
    <row r="55" spans="1:4" x14ac:dyDescent="0.7">
      <c r="A55" s="10" t="s">
        <v>399</v>
      </c>
      <c r="B55" s="10" t="s">
        <v>400</v>
      </c>
      <c r="C55" s="10" t="s">
        <v>401</v>
      </c>
      <c r="D55" s="10" t="s">
        <v>297</v>
      </c>
    </row>
    <row r="56" spans="1:4" x14ac:dyDescent="0.7">
      <c r="A56" s="10" t="s">
        <v>402</v>
      </c>
      <c r="B56" s="10" t="s">
        <v>403</v>
      </c>
      <c r="C56" s="10" t="s">
        <v>404</v>
      </c>
      <c r="D56" s="10" t="s">
        <v>272</v>
      </c>
    </row>
    <row r="57" spans="1:4" x14ac:dyDescent="0.7">
      <c r="A57" s="10" t="s">
        <v>405</v>
      </c>
      <c r="B57" s="10" t="s">
        <v>406</v>
      </c>
      <c r="C57" s="10" t="s">
        <v>407</v>
      </c>
      <c r="D57" s="10" t="s">
        <v>277</v>
      </c>
    </row>
    <row r="58" spans="1:4" x14ac:dyDescent="0.7">
      <c r="A58" s="10" t="s">
        <v>408</v>
      </c>
      <c r="B58" s="10" t="s">
        <v>409</v>
      </c>
      <c r="C58" s="10" t="s">
        <v>410</v>
      </c>
      <c r="D58" s="10" t="s">
        <v>297</v>
      </c>
    </row>
    <row r="59" spans="1:4" x14ac:dyDescent="0.7">
      <c r="A59" s="10" t="s">
        <v>411</v>
      </c>
      <c r="B59" s="10" t="s">
        <v>412</v>
      </c>
      <c r="C59" s="10" t="s">
        <v>413</v>
      </c>
      <c r="D59" s="10" t="s">
        <v>313</v>
      </c>
    </row>
    <row r="60" spans="1:4" x14ac:dyDescent="0.7">
      <c r="A60" s="10" t="s">
        <v>414</v>
      </c>
      <c r="B60" s="10" t="s">
        <v>415</v>
      </c>
      <c r="C60" s="10" t="s">
        <v>416</v>
      </c>
      <c r="D60" s="10" t="s">
        <v>417</v>
      </c>
    </row>
    <row r="61" spans="1:4" x14ac:dyDescent="0.7">
      <c r="A61" s="10" t="s">
        <v>418</v>
      </c>
      <c r="B61" s="10" t="s">
        <v>419</v>
      </c>
      <c r="C61" s="10" t="s">
        <v>420</v>
      </c>
      <c r="D61" s="10" t="s">
        <v>421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8F568-6E1F-427F-B2A9-7ECD531FC42C}">
  <dimension ref="A1:K6"/>
  <sheetViews>
    <sheetView workbookViewId="0">
      <selection activeCell="B4" sqref="B4"/>
    </sheetView>
  </sheetViews>
  <sheetFormatPr defaultRowHeight="17.649999999999999" x14ac:dyDescent="0.7"/>
  <cols>
    <col min="1" max="1" width="18.25" bestFit="1" customWidth="1"/>
    <col min="2" max="2" width="22.0625" bestFit="1" customWidth="1"/>
    <col min="3" max="3" width="4.625" bestFit="1" customWidth="1"/>
    <col min="5" max="5" width="22.125" bestFit="1" customWidth="1"/>
  </cols>
  <sheetData>
    <row r="1" spans="1:11" x14ac:dyDescent="0.7">
      <c r="A1" s="10" t="s">
        <v>173</v>
      </c>
      <c r="B1" s="10" t="s">
        <v>174</v>
      </c>
      <c r="C1">
        <v>100</v>
      </c>
      <c r="E1" t="s">
        <v>173</v>
      </c>
      <c r="I1" t="s">
        <v>188</v>
      </c>
      <c r="J1" t="s">
        <v>184</v>
      </c>
      <c r="K1" t="s">
        <v>186</v>
      </c>
    </row>
    <row r="2" spans="1:11" x14ac:dyDescent="0.7">
      <c r="B2" s="10" t="s">
        <v>177</v>
      </c>
      <c r="C2">
        <v>100</v>
      </c>
      <c r="E2" t="s">
        <v>179</v>
      </c>
      <c r="F2">
        <v>3</v>
      </c>
      <c r="G2">
        <v>150</v>
      </c>
      <c r="H2">
        <f>G2/F2</f>
        <v>50</v>
      </c>
      <c r="I2" t="s">
        <v>183</v>
      </c>
    </row>
    <row r="3" spans="1:11" x14ac:dyDescent="0.7">
      <c r="B3" s="10" t="s">
        <v>175</v>
      </c>
      <c r="C3">
        <v>100</v>
      </c>
      <c r="E3" t="s">
        <v>180</v>
      </c>
      <c r="F3">
        <v>3</v>
      </c>
      <c r="G3">
        <v>150</v>
      </c>
      <c r="H3">
        <f t="shared" ref="H3" si="0">G3/F3</f>
        <v>50</v>
      </c>
      <c r="I3" t="s">
        <v>188</v>
      </c>
      <c r="J3" t="s">
        <v>185</v>
      </c>
      <c r="K3" t="s">
        <v>187</v>
      </c>
    </row>
    <row r="4" spans="1:11" x14ac:dyDescent="0.7">
      <c r="B4" s="10" t="s">
        <v>176</v>
      </c>
      <c r="C4">
        <v>30</v>
      </c>
      <c r="E4" t="s">
        <v>181</v>
      </c>
      <c r="F4">
        <v>3</v>
      </c>
      <c r="G4">
        <v>200</v>
      </c>
      <c r="H4">
        <f>ROUND(G4/F4,0)</f>
        <v>67</v>
      </c>
      <c r="I4" t="s">
        <v>183</v>
      </c>
    </row>
    <row r="5" spans="1:11" x14ac:dyDescent="0.7">
      <c r="B5" s="10" t="s">
        <v>178</v>
      </c>
      <c r="C5">
        <v>100</v>
      </c>
      <c r="E5" t="s">
        <v>182</v>
      </c>
      <c r="F5">
        <v>3</v>
      </c>
      <c r="G5">
        <v>180</v>
      </c>
      <c r="H5">
        <f>ROUND(G5/F5,0)</f>
        <v>60</v>
      </c>
      <c r="I5" t="s">
        <v>188</v>
      </c>
    </row>
    <row r="6" spans="1:11" x14ac:dyDescent="0.7">
      <c r="C6" s="11" t="str">
        <f>SUM(C1:C5)/COUNTA(B1:B5)&amp;"%"</f>
        <v>86%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勉強</vt:lpstr>
      <vt:lpstr>スケジュール</vt:lpstr>
      <vt:lpstr>HIIT</vt:lpstr>
      <vt:lpstr>データベース</vt:lpstr>
      <vt:lpstr>アルゴリズム</vt:lpstr>
      <vt:lpstr>情報セキュリティ</vt:lpstr>
      <vt:lpstr>簿記</vt:lpstr>
      <vt:lpstr>応用情報技術者試験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まんしょう　ゆうすけ 満生雄輔</dc:creator>
  <cp:lastModifiedBy>まんしょう　ゆうすけ 満生雄輔</cp:lastModifiedBy>
  <dcterms:created xsi:type="dcterms:W3CDTF">2025-03-10T22:20:56Z</dcterms:created>
  <dcterms:modified xsi:type="dcterms:W3CDTF">2025-03-24T12:39:01Z</dcterms:modified>
</cp:coreProperties>
</file>